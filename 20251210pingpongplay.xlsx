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nchang/Documents/Pingpong/"/>
    </mc:Choice>
  </mc:AlternateContent>
  <xr:revisionPtr revIDLastSave="0" documentId="13_ncr:1_{6AAF965A-9241-964B-B9C0-01AD8618FC42}" xr6:coauthVersionLast="47" xr6:coauthVersionMax="47" xr10:uidLastSave="{00000000-0000-0000-0000-000000000000}"/>
  <bookViews>
    <workbookView xWindow="-6120" yWindow="-21600" windowWidth="38400" windowHeight="21600" activeTab="2" xr2:uid="{A886B4AF-8089-384B-B422-D4ED964F3E4D}"/>
  </bookViews>
  <sheets>
    <sheet name="签到表" sheetId="1" r:id="rId1"/>
    <sheet name="抽签结果" sheetId="6" r:id="rId2"/>
    <sheet name="Group A" sheetId="2" r:id="rId3"/>
    <sheet name="Group B" sheetId="3" r:id="rId4"/>
    <sheet name="Group C" sheetId="4" r:id="rId5"/>
    <sheet name="Group D" sheetId="5" r:id="rId6"/>
    <sheet name="小组赛晋级名单" sheetId="8" r:id="rId7"/>
    <sheet name="八进四比赛" sheetId="7" r:id="rId8"/>
    <sheet name="四进二比赛" sheetId="9" r:id="rId9"/>
    <sheet name="决赛比赛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8" l="1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3" i="8"/>
  <c r="C3" i="8"/>
  <c r="G18" i="6"/>
  <c r="H18" i="6" s="1"/>
  <c r="G17" i="6"/>
  <c r="H17" i="6" s="1"/>
  <c r="G16" i="6"/>
  <c r="H16" i="6" s="1"/>
  <c r="G15" i="6"/>
  <c r="H15" i="6" s="1"/>
  <c r="G14" i="6"/>
  <c r="H14" i="6" s="1"/>
  <c r="G13" i="6"/>
  <c r="H13" i="6" s="1"/>
  <c r="G12" i="6"/>
  <c r="H12" i="6" s="1"/>
  <c r="G11" i="6"/>
  <c r="H11" i="6" s="1"/>
  <c r="G10" i="6"/>
  <c r="H10" i="6" s="1"/>
  <c r="G9" i="6"/>
  <c r="H9" i="6" s="1"/>
  <c r="G8" i="6"/>
  <c r="H8" i="6" s="1"/>
  <c r="G7" i="6"/>
  <c r="H7" i="6" s="1"/>
  <c r="G6" i="6"/>
  <c r="H6" i="6" s="1"/>
  <c r="G5" i="6"/>
  <c r="H5" i="6" s="1"/>
  <c r="G4" i="6"/>
  <c r="H4" i="6" s="1"/>
  <c r="G3" i="6"/>
  <c r="H3" i="6" s="1"/>
  <c r="A4" i="8"/>
  <c r="B4" i="8" s="1"/>
  <c r="A5" i="8"/>
  <c r="B5" i="8" s="1"/>
  <c r="A6" i="8"/>
  <c r="B6" i="8" s="1"/>
  <c r="A7" i="8"/>
  <c r="B7" i="8" s="1"/>
  <c r="A8" i="8"/>
  <c r="B8" i="8" s="1"/>
  <c r="A9" i="8"/>
  <c r="B9" i="8" s="1"/>
  <c r="A10" i="8"/>
  <c r="B10" i="8" s="1"/>
  <c r="A11" i="8"/>
  <c r="B11" i="8" s="1"/>
  <c r="A12" i="8"/>
  <c r="B12" i="8" s="1"/>
  <c r="A13" i="8"/>
  <c r="B13" i="8" s="1"/>
  <c r="A14" i="8"/>
  <c r="B14" i="8" s="1"/>
  <c r="A15" i="8"/>
  <c r="B15" i="8" s="1"/>
  <c r="A16" i="8"/>
  <c r="B16" i="8" s="1"/>
  <c r="A17" i="8"/>
  <c r="B17" i="8" s="1"/>
  <c r="A18" i="8"/>
  <c r="B18" i="8" s="1"/>
  <c r="A3" i="8"/>
  <c r="B3" i="8" s="1"/>
  <c r="D32" i="5"/>
  <c r="C32" i="5"/>
  <c r="F31" i="5"/>
  <c r="E31" i="5"/>
  <c r="A31" i="5"/>
  <c r="F30" i="5"/>
  <c r="E30" i="5"/>
  <c r="F29" i="5"/>
  <c r="E29" i="5"/>
  <c r="F28" i="5"/>
  <c r="E28" i="5"/>
  <c r="D27" i="5"/>
  <c r="C27" i="5"/>
  <c r="A27" i="5"/>
  <c r="F26" i="5"/>
  <c r="E26" i="5"/>
  <c r="F25" i="5"/>
  <c r="E25" i="5"/>
  <c r="F24" i="5"/>
  <c r="F27" i="5" s="1"/>
  <c r="E24" i="5"/>
  <c r="E27" i="5" s="1"/>
  <c r="F23" i="5"/>
  <c r="E23" i="5"/>
  <c r="D22" i="5"/>
  <c r="C22" i="5"/>
  <c r="A22" i="5"/>
  <c r="F21" i="5"/>
  <c r="E21" i="5"/>
  <c r="F20" i="5"/>
  <c r="E20" i="5"/>
  <c r="F19" i="5"/>
  <c r="E19" i="5"/>
  <c r="F18" i="5"/>
  <c r="E18" i="5"/>
  <c r="D17" i="5"/>
  <c r="C17" i="5"/>
  <c r="A17" i="5"/>
  <c r="F16" i="5"/>
  <c r="E16" i="5"/>
  <c r="F15" i="5"/>
  <c r="E15" i="5"/>
  <c r="F14" i="5"/>
  <c r="E14" i="5"/>
  <c r="F13" i="5"/>
  <c r="E13" i="5"/>
  <c r="D12" i="5"/>
  <c r="C12" i="5"/>
  <c r="A12" i="5"/>
  <c r="F11" i="5"/>
  <c r="E11" i="5"/>
  <c r="F10" i="5"/>
  <c r="E10" i="5"/>
  <c r="F9" i="5"/>
  <c r="F12" i="5" s="1"/>
  <c r="E9" i="5"/>
  <c r="E12" i="5" s="1"/>
  <c r="F8" i="5"/>
  <c r="E8" i="5"/>
  <c r="D7" i="5"/>
  <c r="S2" i="5" s="1"/>
  <c r="C7" i="5"/>
  <c r="A7" i="5"/>
  <c r="F6" i="5"/>
  <c r="E6" i="5"/>
  <c r="K5" i="5"/>
  <c r="F5" i="5"/>
  <c r="E5" i="5"/>
  <c r="K4" i="5"/>
  <c r="F4" i="5"/>
  <c r="E4" i="5"/>
  <c r="K3" i="5"/>
  <c r="F3" i="5"/>
  <c r="E3" i="5"/>
  <c r="A3" i="5"/>
  <c r="K2" i="5"/>
  <c r="D32" i="4"/>
  <c r="R4" i="4" s="1"/>
  <c r="C32" i="4"/>
  <c r="F31" i="4"/>
  <c r="E31" i="4"/>
  <c r="A31" i="4"/>
  <c r="F30" i="4"/>
  <c r="E30" i="4"/>
  <c r="F29" i="4"/>
  <c r="E29" i="4"/>
  <c r="F28" i="4"/>
  <c r="E28" i="4"/>
  <c r="D27" i="4"/>
  <c r="C27" i="4"/>
  <c r="A27" i="4"/>
  <c r="F26" i="4"/>
  <c r="E26" i="4"/>
  <c r="F25" i="4"/>
  <c r="E25" i="4"/>
  <c r="F24" i="4"/>
  <c r="E24" i="4"/>
  <c r="F23" i="4"/>
  <c r="E23" i="4"/>
  <c r="D22" i="4"/>
  <c r="R5" i="4" s="1"/>
  <c r="C22" i="4"/>
  <c r="A22" i="4"/>
  <c r="F21" i="4"/>
  <c r="E21" i="4"/>
  <c r="F20" i="4"/>
  <c r="E20" i="4"/>
  <c r="F19" i="4"/>
  <c r="E19" i="4"/>
  <c r="F18" i="4"/>
  <c r="E18" i="4"/>
  <c r="D17" i="4"/>
  <c r="C17" i="4"/>
  <c r="A17" i="4"/>
  <c r="F16" i="4"/>
  <c r="E16" i="4"/>
  <c r="F15" i="4"/>
  <c r="E15" i="4"/>
  <c r="F14" i="4"/>
  <c r="E14" i="4"/>
  <c r="F13" i="4"/>
  <c r="E13" i="4"/>
  <c r="D12" i="4"/>
  <c r="C12" i="4"/>
  <c r="A12" i="4"/>
  <c r="F11" i="4"/>
  <c r="E11" i="4"/>
  <c r="F10" i="4"/>
  <c r="E10" i="4"/>
  <c r="F9" i="4"/>
  <c r="E9" i="4"/>
  <c r="F8" i="4"/>
  <c r="E8" i="4"/>
  <c r="D7" i="4"/>
  <c r="C7" i="4"/>
  <c r="A7" i="4"/>
  <c r="F6" i="4"/>
  <c r="E6" i="4"/>
  <c r="K5" i="4"/>
  <c r="F5" i="4"/>
  <c r="E5" i="4"/>
  <c r="K4" i="4"/>
  <c r="F4" i="4"/>
  <c r="E4" i="4"/>
  <c r="K3" i="4"/>
  <c r="F3" i="4"/>
  <c r="E3" i="4"/>
  <c r="A3" i="4"/>
  <c r="S2" i="4"/>
  <c r="K2" i="4"/>
  <c r="D32" i="3"/>
  <c r="C32" i="3"/>
  <c r="F31" i="3"/>
  <c r="E31" i="3"/>
  <c r="A31" i="3"/>
  <c r="F30" i="3"/>
  <c r="E30" i="3"/>
  <c r="F29" i="3"/>
  <c r="F32" i="3" s="1"/>
  <c r="E29" i="3"/>
  <c r="F28" i="3"/>
  <c r="E28" i="3"/>
  <c r="D27" i="3"/>
  <c r="C27" i="3"/>
  <c r="A27" i="3"/>
  <c r="F26" i="3"/>
  <c r="E26" i="3"/>
  <c r="F25" i="3"/>
  <c r="E25" i="3"/>
  <c r="F24" i="3"/>
  <c r="E24" i="3"/>
  <c r="F23" i="3"/>
  <c r="E23" i="3"/>
  <c r="D22" i="3"/>
  <c r="R5" i="3" s="1"/>
  <c r="C22" i="3"/>
  <c r="A22" i="3"/>
  <c r="F21" i="3"/>
  <c r="E21" i="3"/>
  <c r="F20" i="3"/>
  <c r="E20" i="3"/>
  <c r="F19" i="3"/>
  <c r="F22" i="3" s="1"/>
  <c r="E19" i="3"/>
  <c r="F18" i="3"/>
  <c r="E18" i="3"/>
  <c r="D17" i="3"/>
  <c r="C17" i="3"/>
  <c r="A17" i="3"/>
  <c r="F16" i="3"/>
  <c r="E16" i="3"/>
  <c r="F15" i="3"/>
  <c r="E15" i="3"/>
  <c r="E17" i="3" s="1"/>
  <c r="F14" i="3"/>
  <c r="E14" i="3"/>
  <c r="F13" i="3"/>
  <c r="E13" i="3"/>
  <c r="D12" i="3"/>
  <c r="S4" i="3" s="1"/>
  <c r="C12" i="3"/>
  <c r="A12" i="3"/>
  <c r="F11" i="3"/>
  <c r="E11" i="3"/>
  <c r="F10" i="3"/>
  <c r="E10" i="3"/>
  <c r="F9" i="3"/>
  <c r="E9" i="3"/>
  <c r="F8" i="3"/>
  <c r="E8" i="3"/>
  <c r="D7" i="3"/>
  <c r="S2" i="3" s="1"/>
  <c r="C7" i="3"/>
  <c r="A7" i="3"/>
  <c r="F6" i="3"/>
  <c r="E6" i="3"/>
  <c r="K5" i="3"/>
  <c r="F5" i="3"/>
  <c r="E5" i="3"/>
  <c r="K4" i="3"/>
  <c r="F4" i="3"/>
  <c r="E4" i="3"/>
  <c r="K3" i="3"/>
  <c r="F3" i="3"/>
  <c r="E3" i="3"/>
  <c r="A3" i="3"/>
  <c r="K2" i="3"/>
  <c r="K5" i="2"/>
  <c r="K4" i="2"/>
  <c r="K3" i="2"/>
  <c r="K2" i="2"/>
  <c r="F28" i="2"/>
  <c r="E28" i="2"/>
  <c r="F23" i="2"/>
  <c r="E23" i="2"/>
  <c r="F18" i="2"/>
  <c r="E18" i="2"/>
  <c r="F13" i="2"/>
  <c r="E13" i="2"/>
  <c r="F8" i="2"/>
  <c r="E8" i="2"/>
  <c r="F3" i="2"/>
  <c r="E3" i="2"/>
  <c r="D32" i="2"/>
  <c r="C32" i="2"/>
  <c r="D27" i="2"/>
  <c r="C27" i="2"/>
  <c r="D22" i="2"/>
  <c r="C22" i="2"/>
  <c r="D17" i="2"/>
  <c r="C17" i="2"/>
  <c r="D12" i="2"/>
  <c r="C12" i="2"/>
  <c r="D7" i="2"/>
  <c r="C7" i="2"/>
  <c r="A12" i="2"/>
  <c r="A31" i="2"/>
  <c r="A27" i="2"/>
  <c r="A22" i="2"/>
  <c r="A17" i="2"/>
  <c r="A7" i="2"/>
  <c r="A3" i="2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2" i="1"/>
  <c r="F31" i="2"/>
  <c r="E31" i="2"/>
  <c r="F30" i="2"/>
  <c r="E30" i="2"/>
  <c r="F29" i="2"/>
  <c r="E29" i="2"/>
  <c r="F26" i="2"/>
  <c r="E26" i="2"/>
  <c r="F25" i="2"/>
  <c r="E25" i="2"/>
  <c r="F24" i="2"/>
  <c r="E24" i="2"/>
  <c r="F21" i="2"/>
  <c r="E21" i="2"/>
  <c r="F20" i="2"/>
  <c r="E20" i="2"/>
  <c r="F19" i="2"/>
  <c r="E19" i="2"/>
  <c r="F16" i="2"/>
  <c r="E16" i="2"/>
  <c r="F15" i="2"/>
  <c r="E15" i="2"/>
  <c r="F14" i="2"/>
  <c r="E14" i="2"/>
  <c r="F11" i="2"/>
  <c r="E11" i="2"/>
  <c r="F10" i="2"/>
  <c r="E10" i="2"/>
  <c r="F9" i="2"/>
  <c r="E9" i="2"/>
  <c r="F6" i="2"/>
  <c r="E6" i="2"/>
  <c r="F5" i="2"/>
  <c r="E5" i="2"/>
  <c r="F4" i="2"/>
  <c r="E4" i="2"/>
  <c r="S4" i="5" l="1"/>
  <c r="E17" i="5"/>
  <c r="E7" i="5"/>
  <c r="F7" i="5"/>
  <c r="R4" i="5"/>
  <c r="T4" i="5" s="1"/>
  <c r="R5" i="5"/>
  <c r="S3" i="5"/>
  <c r="E32" i="4"/>
  <c r="S4" i="4"/>
  <c r="F27" i="4"/>
  <c r="S3" i="4"/>
  <c r="E7" i="3"/>
  <c r="E22" i="3"/>
  <c r="G18" i="3" s="1"/>
  <c r="F7" i="3"/>
  <c r="O3" i="3" s="1"/>
  <c r="F12" i="3"/>
  <c r="E27" i="3"/>
  <c r="E22" i="4"/>
  <c r="F17" i="5"/>
  <c r="E32" i="5"/>
  <c r="H28" i="5" s="1"/>
  <c r="E22" i="5"/>
  <c r="P5" i="5" s="1"/>
  <c r="S5" i="3"/>
  <c r="T5" i="3" s="1"/>
  <c r="E12" i="4"/>
  <c r="H8" i="4" s="1"/>
  <c r="F17" i="4"/>
  <c r="H13" i="4" s="1"/>
  <c r="R3" i="4"/>
  <c r="F32" i="4"/>
  <c r="B29" i="4" s="1"/>
  <c r="E12" i="3"/>
  <c r="H8" i="3" s="1"/>
  <c r="F27" i="3"/>
  <c r="S5" i="4"/>
  <c r="T5" i="4" s="1"/>
  <c r="E17" i="4"/>
  <c r="F22" i="4"/>
  <c r="R3" i="5"/>
  <c r="F32" i="5"/>
  <c r="R4" i="3"/>
  <c r="T4" i="3" s="1"/>
  <c r="E7" i="4"/>
  <c r="B3" i="6" a="1"/>
  <c r="B3" i="6" s="1"/>
  <c r="S3" i="3"/>
  <c r="F17" i="3"/>
  <c r="H13" i="3" s="1"/>
  <c r="E32" i="3"/>
  <c r="G28" i="3" s="1"/>
  <c r="F7" i="4"/>
  <c r="F12" i="4"/>
  <c r="P4" i="4" s="1"/>
  <c r="E27" i="4"/>
  <c r="B24" i="4" s="1"/>
  <c r="S5" i="5"/>
  <c r="T5" i="5" s="1"/>
  <c r="F22" i="5"/>
  <c r="R3" i="3"/>
  <c r="T3" i="3" s="1"/>
  <c r="T4" i="4"/>
  <c r="H8" i="5"/>
  <c r="G8" i="5"/>
  <c r="B9" i="5"/>
  <c r="B24" i="5"/>
  <c r="H23" i="5"/>
  <c r="G23" i="5"/>
  <c r="H13" i="5"/>
  <c r="B14" i="5"/>
  <c r="R2" i="5"/>
  <c r="T2" i="5" s="1"/>
  <c r="G13" i="4"/>
  <c r="B14" i="4"/>
  <c r="G3" i="4"/>
  <c r="P2" i="4"/>
  <c r="G8" i="4"/>
  <c r="G28" i="4"/>
  <c r="H28" i="4"/>
  <c r="R2" i="4"/>
  <c r="T2" i="4" s="1"/>
  <c r="G13" i="3"/>
  <c r="B14" i="3"/>
  <c r="B19" i="3"/>
  <c r="H18" i="3"/>
  <c r="O5" i="3"/>
  <c r="H23" i="3"/>
  <c r="B24" i="3"/>
  <c r="G23" i="3"/>
  <c r="P3" i="3"/>
  <c r="O2" i="3"/>
  <c r="B29" i="3"/>
  <c r="R2" i="3"/>
  <c r="T2" i="3" s="1"/>
  <c r="F12" i="2"/>
  <c r="R2" i="2"/>
  <c r="R3" i="2"/>
  <c r="S2" i="2"/>
  <c r="S5" i="2"/>
  <c r="F27" i="2"/>
  <c r="E22" i="2"/>
  <c r="S3" i="2"/>
  <c r="R5" i="2"/>
  <c r="S4" i="2"/>
  <c r="R4" i="2"/>
  <c r="T4" i="2" s="1"/>
  <c r="F22" i="2"/>
  <c r="E17" i="2"/>
  <c r="F32" i="2"/>
  <c r="F7" i="2"/>
  <c r="F17" i="2"/>
  <c r="E27" i="2"/>
  <c r="E32" i="2"/>
  <c r="E7" i="2"/>
  <c r="E12" i="2"/>
  <c r="C5" i="6" a="1"/>
  <c r="C5" i="6" s="1"/>
  <c r="D4" i="6" a="1"/>
  <c r="D4" i="6" s="1"/>
  <c r="D5" i="6" a="1"/>
  <c r="D5" i="6" s="1"/>
  <c r="C4" i="6" a="1"/>
  <c r="C4" i="6" s="1"/>
  <c r="E5" i="6" a="1"/>
  <c r="E5" i="6" s="1"/>
  <c r="B4" i="6" a="1"/>
  <c r="B4" i="6" s="1"/>
  <c r="C3" i="6" a="1"/>
  <c r="C3" i="6" s="1"/>
  <c r="C2" i="6" a="1"/>
  <c r="C2" i="6" s="1"/>
  <c r="B2" i="6" a="1"/>
  <c r="B2" i="6" s="1"/>
  <c r="B5" i="6" a="1"/>
  <c r="B5" i="6" s="1"/>
  <c r="E3" i="6" a="1"/>
  <c r="E3" i="6" s="1"/>
  <c r="E2" i="6" a="1"/>
  <c r="E2" i="6" s="1"/>
  <c r="D2" i="6" a="1"/>
  <c r="D2" i="6" s="1"/>
  <c r="E4" i="6" a="1"/>
  <c r="E4" i="6" s="1"/>
  <c r="D3" i="6" a="1"/>
  <c r="D3" i="6" s="1"/>
  <c r="H3" i="5" l="1"/>
  <c r="G3" i="5"/>
  <c r="B4" i="5"/>
  <c r="P2" i="5"/>
  <c r="O2" i="5"/>
  <c r="T3" i="5"/>
  <c r="B29" i="5"/>
  <c r="P4" i="5"/>
  <c r="G28" i="5"/>
  <c r="H18" i="5"/>
  <c r="O5" i="5"/>
  <c r="P3" i="5"/>
  <c r="P3" i="4"/>
  <c r="O3" i="4"/>
  <c r="T3" i="4"/>
  <c r="H23" i="4"/>
  <c r="G23" i="4"/>
  <c r="G18" i="4"/>
  <c r="B9" i="3"/>
  <c r="G8" i="3"/>
  <c r="G3" i="3"/>
  <c r="Q3" i="4"/>
  <c r="P5" i="3"/>
  <c r="Q5" i="3" s="1"/>
  <c r="P4" i="3"/>
  <c r="O4" i="4"/>
  <c r="Q4" i="4" s="1"/>
  <c r="B4" i="4"/>
  <c r="H18" i="4"/>
  <c r="N3" i="4" s="1"/>
  <c r="G13" i="5"/>
  <c r="H28" i="3"/>
  <c r="P2" i="3"/>
  <c r="Q2" i="3" s="1"/>
  <c r="P5" i="4"/>
  <c r="O5" i="4"/>
  <c r="M4" i="4"/>
  <c r="T3" i="2"/>
  <c r="B4" i="3"/>
  <c r="B19" i="4"/>
  <c r="N4" i="5"/>
  <c r="T2" i="2"/>
  <c r="H3" i="3"/>
  <c r="N4" i="3" s="1"/>
  <c r="O4" i="3"/>
  <c r="H3" i="4"/>
  <c r="N4" i="4" s="1"/>
  <c r="O3" i="5"/>
  <c r="O4" i="5"/>
  <c r="T5" i="2"/>
  <c r="O2" i="4"/>
  <c r="Q2" i="4" s="1"/>
  <c r="B19" i="5"/>
  <c r="B9" i="4"/>
  <c r="G18" i="5"/>
  <c r="M2" i="5" s="1"/>
  <c r="Q5" i="5"/>
  <c r="N2" i="5"/>
  <c r="N3" i="5"/>
  <c r="N5" i="5"/>
  <c r="Q2" i="5"/>
  <c r="M5" i="4"/>
  <c r="M2" i="4"/>
  <c r="M3" i="4"/>
  <c r="N2" i="4"/>
  <c r="N5" i="3"/>
  <c r="N2" i="3"/>
  <c r="M5" i="3"/>
  <c r="M2" i="3"/>
  <c r="M3" i="3"/>
  <c r="Q3" i="3"/>
  <c r="M4" i="3"/>
  <c r="G8" i="2"/>
  <c r="H8" i="2"/>
  <c r="G3" i="2"/>
  <c r="H3" i="2"/>
  <c r="G28" i="2"/>
  <c r="H28" i="2"/>
  <c r="G18" i="2"/>
  <c r="H18" i="2"/>
  <c r="G13" i="2"/>
  <c r="H13" i="2"/>
  <c r="H23" i="2"/>
  <c r="G23" i="2"/>
  <c r="B24" i="2"/>
  <c r="P4" i="2"/>
  <c r="O5" i="2"/>
  <c r="B14" i="2"/>
  <c r="B29" i="2"/>
  <c r="O3" i="2"/>
  <c r="P2" i="2"/>
  <c r="P5" i="2"/>
  <c r="O4" i="2"/>
  <c r="B9" i="2"/>
  <c r="O2" i="2"/>
  <c r="P3" i="2"/>
  <c r="B4" i="2"/>
  <c r="B19" i="2"/>
  <c r="Q4" i="5" l="1"/>
  <c r="Q3" i="5"/>
  <c r="M4" i="5"/>
  <c r="L4" i="5" s="1"/>
  <c r="C17" i="8" s="1"/>
  <c r="L3" i="4"/>
  <c r="C12" i="8" s="1"/>
  <c r="L2" i="4"/>
  <c r="C11" i="8" s="1"/>
  <c r="Q5" i="4"/>
  <c r="L4" i="4"/>
  <c r="C13" i="8" s="1"/>
  <c r="Q3" i="2"/>
  <c r="Q5" i="2"/>
  <c r="Q4" i="3"/>
  <c r="Q2" i="2"/>
  <c r="L3" i="3"/>
  <c r="C8" i="8" s="1"/>
  <c r="Q4" i="2"/>
  <c r="L2" i="3"/>
  <c r="C7" i="8" s="1"/>
  <c r="M5" i="5"/>
  <c r="L5" i="5" s="1"/>
  <c r="C18" i="8" s="1"/>
  <c r="L5" i="3"/>
  <c r="C10" i="8" s="1"/>
  <c r="N5" i="4"/>
  <c r="M3" i="5"/>
  <c r="L3" i="5" s="1"/>
  <c r="C16" i="8" s="1"/>
  <c r="N3" i="3"/>
  <c r="L4" i="3"/>
  <c r="C9" i="8" s="1"/>
  <c r="L2" i="5"/>
  <c r="C15" i="8" s="1"/>
  <c r="L5" i="4"/>
  <c r="C14" i="8" s="1"/>
  <c r="N2" i="2"/>
  <c r="N4" i="2"/>
  <c r="N3" i="2"/>
  <c r="N5" i="2"/>
  <c r="M3" i="2"/>
  <c r="L3" i="2" s="1"/>
  <c r="C4" i="8" s="1"/>
  <c r="M4" i="2"/>
  <c r="M5" i="2"/>
  <c r="L5" i="2" s="1"/>
  <c r="C6" i="8" s="1"/>
  <c r="M2" i="2"/>
  <c r="L2" i="2" s="1"/>
  <c r="L4" i="2" l="1"/>
  <c r="C5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<sst xmlns="http://schemas.openxmlformats.org/spreadsheetml/2006/main" count="327" uniqueCount="193">
  <si>
    <t xml:space="preserve">Alemu, Yohannes </t>
  </si>
  <si>
    <t>Amjad, Usama Bin</t>
  </si>
  <si>
    <t xml:space="preserve">Benjamin Rettberg, Benjamin </t>
  </si>
  <si>
    <t>Guorui, Yu</t>
  </si>
  <si>
    <t xml:space="preserve">Hager, Jonathan </t>
  </si>
  <si>
    <t xml:space="preserve">Katwal, Anmol </t>
  </si>
  <si>
    <t>Leo Farahwaschy, Leo</t>
  </si>
  <si>
    <t>Maldikar, Ritik</t>
  </si>
  <si>
    <t>Mangiameli, Greta</t>
  </si>
  <si>
    <t>Nguyen, Thomas</t>
  </si>
  <si>
    <t>Ovcarov, Danil</t>
  </si>
  <si>
    <t>Schneider, Yaro</t>
  </si>
  <si>
    <t xml:space="preserve">Shah, Rabin Bikram </t>
  </si>
  <si>
    <t>Yadav, Amit</t>
  </si>
  <si>
    <t>A</t>
  </si>
  <si>
    <t>B</t>
  </si>
  <si>
    <t>C</t>
  </si>
  <si>
    <t>D</t>
  </si>
  <si>
    <t>Alagbada, Abiodun</t>
  </si>
  <si>
    <t>Kühn, Justin</t>
  </si>
  <si>
    <t>Group Nummer A B C D</t>
  </si>
  <si>
    <t>Inside Group number 1,2,3,4</t>
  </si>
  <si>
    <t>SUM</t>
  </si>
  <si>
    <t>抽签结果</t>
  </si>
  <si>
    <t>A1</t>
  </si>
  <si>
    <t>C2</t>
  </si>
  <si>
    <t>B1</t>
  </si>
  <si>
    <t>B2</t>
  </si>
  <si>
    <t>C1</t>
  </si>
  <si>
    <t>C3</t>
  </si>
  <si>
    <t>D2</t>
  </si>
  <si>
    <t>D3</t>
  </si>
  <si>
    <t>D4</t>
  </si>
  <si>
    <t>A2</t>
  </si>
  <si>
    <t>A4</t>
  </si>
  <si>
    <t>B3</t>
  </si>
  <si>
    <t>B4</t>
  </si>
  <si>
    <t>C4</t>
  </si>
  <si>
    <t>A3</t>
  </si>
  <si>
    <t>D1</t>
  </si>
  <si>
    <t>实际名单</t>
  </si>
  <si>
    <t>候补Wanchang Zhang</t>
  </si>
  <si>
    <t>注册名单</t>
  </si>
  <si>
    <t>T0</t>
  </si>
  <si>
    <t>T1</t>
  </si>
  <si>
    <t>T2</t>
  </si>
  <si>
    <t>T3</t>
  </si>
  <si>
    <t>T4</t>
  </si>
  <si>
    <t>T5</t>
  </si>
  <si>
    <t>T6</t>
  </si>
  <si>
    <t>Preparation time line</t>
  </si>
  <si>
    <t>17:00-17.15</t>
  </si>
  <si>
    <t>Explain the rules and get numbers</t>
  </si>
  <si>
    <t>17.15-17.25</t>
  </si>
  <si>
    <t>Arrive time and table set up</t>
  </si>
  <si>
    <t xml:space="preserve">Timeline </t>
  </si>
  <si>
    <t>Results</t>
  </si>
  <si>
    <t>Winning points in each Match</t>
  </si>
  <si>
    <t>Winning games in each Match</t>
  </si>
  <si>
    <t>Winner of this Match</t>
  </si>
  <si>
    <t>Loser  of this Match</t>
  </si>
  <si>
    <t>Match 1</t>
  </si>
  <si>
    <t>Match 2</t>
  </si>
  <si>
    <t>Match 3</t>
  </si>
  <si>
    <t>Match 4</t>
  </si>
  <si>
    <t>Match 5</t>
  </si>
  <si>
    <t>Match 6</t>
  </si>
  <si>
    <t>最终自动排名. MatchWins first</t>
  </si>
  <si>
    <t xml:space="preserve">1. Matchwins </t>
  </si>
  <si>
    <t>Matchwins胜场数</t>
  </si>
  <si>
    <t>Matchloses 总负场数</t>
  </si>
  <si>
    <t>Gamewins 总胜局数</t>
  </si>
  <si>
    <t>Gameloses 总负局数</t>
  </si>
  <si>
    <t>Pointwins 总得分</t>
  </si>
  <si>
    <t>Pointloses 总失分</t>
  </si>
  <si>
    <t>3. If same gamewin differences, count pointwind differences (pointwins-pointloses)</t>
  </si>
  <si>
    <t xml:space="preserve">4. If same pointwin differences </t>
  </si>
  <si>
    <t>Gamewin differences</t>
  </si>
  <si>
    <t>Pointwin differences</t>
  </si>
  <si>
    <t>2. If same matchwins, see their result game with each other  go to gamewin differences (Wingames-Losegames)</t>
  </si>
  <si>
    <t>Total Scores</t>
  </si>
  <si>
    <t>三局两胜</t>
  </si>
  <si>
    <t>Results from the first Round in Groups</t>
  </si>
  <si>
    <t>Best of Three For every tBble there will be 6 gBmes , with every mBtches 25 mins (3-5 mins wBrm up Bnd 20 mins mBtch)</t>
  </si>
  <si>
    <t>TotBl Scores</t>
  </si>
  <si>
    <t>MBtchwins胜场数</t>
  </si>
  <si>
    <t>MBtchloses 总负场数</t>
  </si>
  <si>
    <t>GBmewins 总胜局数</t>
  </si>
  <si>
    <t>GBmeloses 总负局数</t>
  </si>
  <si>
    <t>GBmewin differences</t>
  </si>
  <si>
    <t>Winning points in eBch MBtch</t>
  </si>
  <si>
    <t>Winning gBmes in eBch MBtch</t>
  </si>
  <si>
    <t>Winner of this MBtch</t>
  </si>
  <si>
    <t>Loser  of this MBtch</t>
  </si>
  <si>
    <t>MBtch 1</t>
  </si>
  <si>
    <t>MBtch 2</t>
  </si>
  <si>
    <t>MBtch 3</t>
  </si>
  <si>
    <t>最终自动排名. MBtchWins first</t>
  </si>
  <si>
    <t xml:space="preserve">1. MBtchwins </t>
  </si>
  <si>
    <t>2. If sBme mBtchwins, see their result gBme with eBch other  go to gBmewin differences (WingBmes-LosegBmes)</t>
  </si>
  <si>
    <t>3. If sBme gBmewin differences, count pointwind differences (pointwins-pointloses)</t>
  </si>
  <si>
    <t xml:space="preserve">4. If sBme pointwin differences </t>
  </si>
  <si>
    <t>MBtch 4</t>
  </si>
  <si>
    <t>MBtch 5</t>
  </si>
  <si>
    <t>MBtch 6</t>
  </si>
  <si>
    <t>Cest of Three For every tCCle there will Ce 6 gCmes , with every mCtches 25 mins (3-5 mins wCrm up Cnd 20 mins mCtch)</t>
  </si>
  <si>
    <t>TotCl Scores</t>
  </si>
  <si>
    <t>MCtchwins胜场数</t>
  </si>
  <si>
    <t>MCtchloses 总负场数</t>
  </si>
  <si>
    <t>GCmewins 总胜局数</t>
  </si>
  <si>
    <t>GCmeloses 总负局数</t>
  </si>
  <si>
    <t>GCmewin differences</t>
  </si>
  <si>
    <t>Winning points in eCch MCtch</t>
  </si>
  <si>
    <t>Winning gCmes in eCch MCtch</t>
  </si>
  <si>
    <t>Winner of this MCtch</t>
  </si>
  <si>
    <t>Loser  of this MCtch</t>
  </si>
  <si>
    <t>MCtch 1</t>
  </si>
  <si>
    <t>MCtch 2</t>
  </si>
  <si>
    <t>MCtch 3</t>
  </si>
  <si>
    <t>最终自动排名. MCtchWins first</t>
  </si>
  <si>
    <t xml:space="preserve">1. MCtchwins </t>
  </si>
  <si>
    <t>2. If sCme mCtchwins, see their result gCme with eCch other  go to gCmewin differences (WingCmes-LosegCmes)</t>
  </si>
  <si>
    <t>3. If sCme gCmewin differences, count pointwind differences (pointwins-pointloses)</t>
  </si>
  <si>
    <t xml:space="preserve">4. If sCme pointwin differences </t>
  </si>
  <si>
    <t>MCtch 4</t>
  </si>
  <si>
    <t>MCtch 5</t>
  </si>
  <si>
    <t>MCtch 6</t>
  </si>
  <si>
    <t>Dest of Three For every tDDle there will De 6 gDmes , with every mDtches 25 mins (3-5 mins wDrm up Dnd 20 mins mDtch)</t>
  </si>
  <si>
    <t>TotDl Scores</t>
  </si>
  <si>
    <t>MDtchwins胜场数</t>
  </si>
  <si>
    <t>MDtchloses 总负场数</t>
  </si>
  <si>
    <t>GDmewins 总胜局数</t>
  </si>
  <si>
    <t>GDmeloses 总负局数</t>
  </si>
  <si>
    <t>GDmewin differences</t>
  </si>
  <si>
    <t>Winning points in eDch MDtch</t>
  </si>
  <si>
    <t>Winning gDmes in eDch MDtch</t>
  </si>
  <si>
    <t>Winner of this MDtch</t>
  </si>
  <si>
    <t>Loser  of this MDtch</t>
  </si>
  <si>
    <t>MDtch 1</t>
  </si>
  <si>
    <t>MDtch 2</t>
  </si>
  <si>
    <t>MDtch 3</t>
  </si>
  <si>
    <t>最终自动排名. MDtchWins first</t>
  </si>
  <si>
    <t xml:space="preserve">1. MDtchwins </t>
  </si>
  <si>
    <t>2. If sDme mDtchwins, see their result gDme with eDch other  go to gDmewin differences (WingDmes-LosegDmes)</t>
  </si>
  <si>
    <t>3. If sDme gDmewin differences, count pointwind differences (pointwins-pointloses)</t>
  </si>
  <si>
    <t xml:space="preserve">4. If sDme pointwin differences </t>
  </si>
  <si>
    <t>MDtch 4</t>
  </si>
  <si>
    <t>MDtch 5</t>
  </si>
  <si>
    <t>MDtch 6</t>
  </si>
  <si>
    <t>Rank</t>
  </si>
  <si>
    <t>标号</t>
  </si>
  <si>
    <t>姓名</t>
  </si>
  <si>
    <t>我需要准备的材料</t>
  </si>
  <si>
    <t>六个球</t>
  </si>
  <si>
    <t>五个纸杯</t>
  </si>
  <si>
    <t>五支笔</t>
  </si>
  <si>
    <t>五张纸</t>
  </si>
  <si>
    <t>打印的表格</t>
  </si>
  <si>
    <t>自己的食物</t>
  </si>
  <si>
    <t>笔记本电脑</t>
  </si>
  <si>
    <t>Unisport 需要准备的材料</t>
  </si>
  <si>
    <t>哨子</t>
  </si>
  <si>
    <t>五个比分牌</t>
  </si>
  <si>
    <t>wiener wurst</t>
  </si>
  <si>
    <t>gluhwein</t>
  </si>
  <si>
    <t>急救包</t>
  </si>
  <si>
    <t>最后的排名</t>
  </si>
  <si>
    <t>五张乒乓球桌子，网</t>
  </si>
  <si>
    <t>参赛者自己要准备</t>
  </si>
  <si>
    <t>室内运动鞋</t>
  </si>
  <si>
    <t>自己的乒乓球拍子</t>
  </si>
  <si>
    <t>水</t>
  </si>
  <si>
    <t>换衣间</t>
  </si>
  <si>
    <t>A1-D1的纸片</t>
  </si>
  <si>
    <t>拍照记录</t>
  </si>
  <si>
    <t>Table A</t>
  </si>
  <si>
    <t>Table B</t>
  </si>
  <si>
    <t>Table C</t>
  </si>
  <si>
    <t>Table D</t>
  </si>
  <si>
    <t>No.1</t>
  </si>
  <si>
    <t>NO.8</t>
  </si>
  <si>
    <t>No.2</t>
  </si>
  <si>
    <t>No.7</t>
  </si>
  <si>
    <t>No.3</t>
  </si>
  <si>
    <t>No.6</t>
  </si>
  <si>
    <t>No.4</t>
  </si>
  <si>
    <t>No.5</t>
  </si>
  <si>
    <t>Table E</t>
  </si>
  <si>
    <t>Double play in turn to have fun</t>
  </si>
  <si>
    <t>第二轮淘汰局八进四, 三局两胜，30分钟（5+25）</t>
  </si>
  <si>
    <t>第三轮淘汰赛，半决赛四进二，五局三胜，35分钟</t>
  </si>
  <si>
    <t>第四轮决赛，冠亚军，五局三胜，35min</t>
  </si>
  <si>
    <t>Best of Three For every table there will be 6 games , with every matches 25 mins (2-4 mins warm up and 20mins match)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</si>
</sst>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9"/>
      <color rgb="FF000000"/>
      <name val="Helvetica"/>
      <family val="2"/>
    </font>
    <font>
      <sz val="12"/>
      <color rgb="FF000000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20" fontId="0" fillId="0" borderId="0" xfId="0" applyNumberFormat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2" borderId="0" xfId="0" applyFont="1" applyFill="1"/>
    <xf numFmtId="20" fontId="0" fillId="2" borderId="9" xfId="0" applyNumberFormat="1" applyFill="1" applyBorder="1" applyAlignment="1">
      <alignment horizontal="left" vertical="center"/>
    </xf>
    <xf numFmtId="20" fontId="0" fillId="2" borderId="12" xfId="0" applyNumberFormat="1" applyFill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22" fontId="0" fillId="0" borderId="4" xfId="0" applyNumberFormat="1" applyBorder="1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22" fontId="2" fillId="0" borderId="0" xfId="0" applyNumberFormat="1" applyFont="1" applyAlignment="1">
      <alignment horizontal="left"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20" fontId="0" fillId="0" borderId="3" xfId="0" applyNumberForma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8" xfId="0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/>
    </xf>
    <xf numFmtId="20" fontId="0" fillId="0" borderId="10" xfId="0" applyNumberForma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FB0F1-D6A2-F941-A7AD-A2CB9B2E7445}">
  <dimension ref="A1:E52"/>
  <sheetViews>
    <sheetView workbookViewId="0">
      <selection activeCell="A27" sqref="A27"/>
    </sheetView>
  </sheetViews>
  <sheetFormatPr baseColWidth="10" defaultRowHeight="16" x14ac:dyDescent="0.2"/>
  <cols>
    <col min="1" max="1" width="25.6640625" customWidth="1"/>
    <col min="2" max="2" width="24" customWidth="1"/>
    <col min="3" max="3" width="14.33203125" customWidth="1"/>
    <col min="4" max="4" width="20.83203125" customWidth="1"/>
    <col min="5" max="5" width="25.1640625" customWidth="1"/>
  </cols>
  <sheetData>
    <row r="1" spans="1:5" x14ac:dyDescent="0.2">
      <c r="A1" s="1" t="s">
        <v>42</v>
      </c>
      <c r="B1" s="11" t="s">
        <v>40</v>
      </c>
      <c r="C1" s="11" t="s">
        <v>23</v>
      </c>
      <c r="D1" t="s">
        <v>20</v>
      </c>
      <c r="E1" t="s">
        <v>21</v>
      </c>
    </row>
    <row r="2" spans="1:5" x14ac:dyDescent="0.2">
      <c r="A2" s="1" t="s">
        <v>18</v>
      </c>
      <c r="B2" s="11" t="s">
        <v>18</v>
      </c>
      <c r="C2" s="11" t="s">
        <v>24</v>
      </c>
      <c r="D2" t="str">
        <f>LEFT(C2,1)</f>
        <v>A</v>
      </c>
      <c r="E2" t="str">
        <f>RIGHT(C2,1)</f>
        <v>1</v>
      </c>
    </row>
    <row r="3" spans="1:5" x14ac:dyDescent="0.2">
      <c r="A3" s="1" t="s">
        <v>0</v>
      </c>
      <c r="B3" s="11" t="s">
        <v>0</v>
      </c>
      <c r="C3" s="11" t="s">
        <v>25</v>
      </c>
      <c r="D3" t="str">
        <f t="shared" ref="D3:D17" si="0">LEFT(C3,1)</f>
        <v>C</v>
      </c>
      <c r="E3" t="str">
        <f t="shared" ref="E3:E17" si="1">RIGHT(C3,1)</f>
        <v>2</v>
      </c>
    </row>
    <row r="4" spans="1:5" x14ac:dyDescent="0.2">
      <c r="A4" s="1" t="s">
        <v>1</v>
      </c>
      <c r="B4" s="11" t="s">
        <v>1</v>
      </c>
      <c r="C4" s="11" t="s">
        <v>26</v>
      </c>
      <c r="D4" t="str">
        <f t="shared" si="0"/>
        <v>B</v>
      </c>
      <c r="E4" t="str">
        <f t="shared" si="1"/>
        <v>1</v>
      </c>
    </row>
    <row r="5" spans="1:5" x14ac:dyDescent="0.2">
      <c r="A5" s="1" t="s">
        <v>2</v>
      </c>
      <c r="B5" s="11" t="s">
        <v>2</v>
      </c>
      <c r="C5" s="11" t="s">
        <v>27</v>
      </c>
      <c r="D5" t="str">
        <f t="shared" si="0"/>
        <v>B</v>
      </c>
      <c r="E5" t="str">
        <f t="shared" si="1"/>
        <v>2</v>
      </c>
    </row>
    <row r="6" spans="1:5" x14ac:dyDescent="0.2">
      <c r="A6" s="1" t="s">
        <v>3</v>
      </c>
      <c r="B6" s="11" t="s">
        <v>3</v>
      </c>
      <c r="C6" s="11" t="s">
        <v>28</v>
      </c>
      <c r="D6" t="str">
        <f t="shared" si="0"/>
        <v>C</v>
      </c>
      <c r="E6" t="str">
        <f t="shared" si="1"/>
        <v>1</v>
      </c>
    </row>
    <row r="7" spans="1:5" x14ac:dyDescent="0.2">
      <c r="A7" s="1" t="s">
        <v>4</v>
      </c>
      <c r="B7" s="11" t="s">
        <v>4</v>
      </c>
      <c r="C7" s="11" t="s">
        <v>29</v>
      </c>
      <c r="D7" t="str">
        <f t="shared" si="0"/>
        <v>C</v>
      </c>
      <c r="E7" t="str">
        <f t="shared" si="1"/>
        <v>3</v>
      </c>
    </row>
    <row r="8" spans="1:5" x14ac:dyDescent="0.2">
      <c r="A8" s="1" t="s">
        <v>5</v>
      </c>
      <c r="B8" s="11" t="s">
        <v>5</v>
      </c>
      <c r="C8" s="11" t="s">
        <v>30</v>
      </c>
      <c r="D8" t="str">
        <f t="shared" si="0"/>
        <v>D</v>
      </c>
      <c r="E8" t="str">
        <f t="shared" si="1"/>
        <v>2</v>
      </c>
    </row>
    <row r="9" spans="1:5" x14ac:dyDescent="0.2">
      <c r="A9" s="1" t="s">
        <v>19</v>
      </c>
      <c r="B9" s="11" t="s">
        <v>19</v>
      </c>
      <c r="C9" s="11" t="s">
        <v>31</v>
      </c>
      <c r="D9" t="str">
        <f t="shared" si="0"/>
        <v>D</v>
      </c>
      <c r="E9" t="str">
        <f t="shared" si="1"/>
        <v>3</v>
      </c>
    </row>
    <row r="10" spans="1:5" x14ac:dyDescent="0.2">
      <c r="A10" s="1" t="s">
        <v>6</v>
      </c>
      <c r="B10" s="11" t="s">
        <v>6</v>
      </c>
      <c r="C10" s="11" t="s">
        <v>32</v>
      </c>
      <c r="D10" t="str">
        <f t="shared" si="0"/>
        <v>D</v>
      </c>
      <c r="E10" t="str">
        <f t="shared" si="1"/>
        <v>4</v>
      </c>
    </row>
    <row r="11" spans="1:5" x14ac:dyDescent="0.2">
      <c r="A11" s="1" t="s">
        <v>7</v>
      </c>
      <c r="B11" s="11" t="s">
        <v>7</v>
      </c>
      <c r="C11" s="11" t="s">
        <v>33</v>
      </c>
      <c r="D11" t="str">
        <f t="shared" si="0"/>
        <v>A</v>
      </c>
      <c r="E11" t="str">
        <f t="shared" si="1"/>
        <v>2</v>
      </c>
    </row>
    <row r="12" spans="1:5" x14ac:dyDescent="0.2">
      <c r="A12" s="1" t="s">
        <v>8</v>
      </c>
      <c r="B12" s="11" t="s">
        <v>8</v>
      </c>
      <c r="C12" s="11" t="s">
        <v>34</v>
      </c>
      <c r="D12" t="str">
        <f t="shared" si="0"/>
        <v>A</v>
      </c>
      <c r="E12" t="str">
        <f t="shared" si="1"/>
        <v>4</v>
      </c>
    </row>
    <row r="13" spans="1:5" x14ac:dyDescent="0.2">
      <c r="A13" s="1" t="s">
        <v>9</v>
      </c>
      <c r="B13" s="11" t="s">
        <v>9</v>
      </c>
      <c r="C13" s="11" t="s">
        <v>35</v>
      </c>
      <c r="D13" t="str">
        <f t="shared" si="0"/>
        <v>B</v>
      </c>
      <c r="E13" t="str">
        <f t="shared" si="1"/>
        <v>3</v>
      </c>
    </row>
    <row r="14" spans="1:5" x14ac:dyDescent="0.2">
      <c r="A14" s="1" t="s">
        <v>10</v>
      </c>
      <c r="B14" s="11" t="s">
        <v>10</v>
      </c>
      <c r="C14" s="11" t="s">
        <v>36</v>
      </c>
      <c r="D14" t="str">
        <f t="shared" si="0"/>
        <v>B</v>
      </c>
      <c r="E14" t="str">
        <f t="shared" si="1"/>
        <v>4</v>
      </c>
    </row>
    <row r="15" spans="1:5" x14ac:dyDescent="0.2">
      <c r="A15" s="1" t="s">
        <v>11</v>
      </c>
      <c r="B15" s="11" t="s">
        <v>11</v>
      </c>
      <c r="C15" s="11" t="s">
        <v>37</v>
      </c>
      <c r="D15" t="str">
        <f t="shared" si="0"/>
        <v>C</v>
      </c>
      <c r="E15" t="str">
        <f t="shared" si="1"/>
        <v>4</v>
      </c>
    </row>
    <row r="16" spans="1:5" x14ac:dyDescent="0.2">
      <c r="A16" s="1" t="s">
        <v>12</v>
      </c>
      <c r="B16" s="11" t="s">
        <v>12</v>
      </c>
      <c r="C16" s="11" t="s">
        <v>38</v>
      </c>
      <c r="D16" t="str">
        <f t="shared" si="0"/>
        <v>A</v>
      </c>
      <c r="E16" t="str">
        <f t="shared" si="1"/>
        <v>3</v>
      </c>
    </row>
    <row r="17" spans="1:5" x14ac:dyDescent="0.2">
      <c r="A17" s="1" t="s">
        <v>13</v>
      </c>
      <c r="B17" s="11" t="s">
        <v>13</v>
      </c>
      <c r="C17" s="11" t="s">
        <v>39</v>
      </c>
      <c r="D17" t="str">
        <f t="shared" si="0"/>
        <v>D</v>
      </c>
      <c r="E17" t="str">
        <f t="shared" si="1"/>
        <v>1</v>
      </c>
    </row>
    <row r="18" spans="1:5" x14ac:dyDescent="0.2">
      <c r="A18" s="1" t="s">
        <v>41</v>
      </c>
    </row>
    <row r="19" spans="1:5" x14ac:dyDescent="0.2">
      <c r="A19" s="1"/>
    </row>
    <row r="20" spans="1:5" x14ac:dyDescent="0.2">
      <c r="A20" s="1" t="s">
        <v>50</v>
      </c>
      <c r="C20" s="1"/>
    </row>
    <row r="21" spans="1:5" x14ac:dyDescent="0.2">
      <c r="A21" s="1" t="s">
        <v>54</v>
      </c>
      <c r="B21" t="s">
        <v>51</v>
      </c>
      <c r="C21" s="1"/>
    </row>
    <row r="22" spans="1:5" x14ac:dyDescent="0.2">
      <c r="A22" s="1" t="s">
        <v>52</v>
      </c>
      <c r="B22" t="s">
        <v>53</v>
      </c>
      <c r="C22" s="1"/>
    </row>
    <row r="23" spans="1:5" x14ac:dyDescent="0.2">
      <c r="A23" s="1"/>
      <c r="C23" s="1"/>
    </row>
    <row r="24" spans="1:5" x14ac:dyDescent="0.2">
      <c r="C24" s="1"/>
    </row>
    <row r="25" spans="1:5" x14ac:dyDescent="0.2">
      <c r="C25" s="1"/>
    </row>
    <row r="26" spans="1:5" x14ac:dyDescent="0.2">
      <c r="A26" t="s">
        <v>152</v>
      </c>
      <c r="C26" s="1"/>
    </row>
    <row r="27" spans="1:5" x14ac:dyDescent="0.2">
      <c r="A27" t="s">
        <v>153</v>
      </c>
      <c r="C27" s="1"/>
    </row>
    <row r="28" spans="1:5" x14ac:dyDescent="0.2">
      <c r="A28" t="s">
        <v>154</v>
      </c>
      <c r="C28" s="1"/>
    </row>
    <row r="29" spans="1:5" x14ac:dyDescent="0.2">
      <c r="A29" t="s">
        <v>155</v>
      </c>
      <c r="C29" s="1"/>
    </row>
    <row r="30" spans="1:5" x14ac:dyDescent="0.2">
      <c r="A30" t="s">
        <v>156</v>
      </c>
      <c r="C30" s="1"/>
    </row>
    <row r="31" spans="1:5" x14ac:dyDescent="0.2">
      <c r="A31" t="s">
        <v>157</v>
      </c>
      <c r="C31" s="1"/>
    </row>
    <row r="32" spans="1:5" x14ac:dyDescent="0.2">
      <c r="A32" t="s">
        <v>158</v>
      </c>
      <c r="C32" s="1"/>
    </row>
    <row r="33" spans="1:3" x14ac:dyDescent="0.2">
      <c r="A33" t="s">
        <v>159</v>
      </c>
      <c r="C33" s="1"/>
    </row>
    <row r="34" spans="1:3" x14ac:dyDescent="0.2">
      <c r="A34" t="s">
        <v>173</v>
      </c>
      <c r="C34" s="1"/>
    </row>
    <row r="35" spans="1:3" x14ac:dyDescent="0.2">
      <c r="A35" t="s">
        <v>174</v>
      </c>
      <c r="C35" s="1"/>
    </row>
    <row r="38" spans="1:3" x14ac:dyDescent="0.2">
      <c r="A38" t="s">
        <v>160</v>
      </c>
    </row>
    <row r="39" spans="1:3" x14ac:dyDescent="0.2">
      <c r="A39" t="s">
        <v>161</v>
      </c>
    </row>
    <row r="40" spans="1:3" x14ac:dyDescent="0.2">
      <c r="A40" t="s">
        <v>167</v>
      </c>
    </row>
    <row r="41" spans="1:3" x14ac:dyDescent="0.2">
      <c r="A41" t="s">
        <v>162</v>
      </c>
    </row>
    <row r="42" spans="1:3" x14ac:dyDescent="0.2">
      <c r="A42" t="s">
        <v>163</v>
      </c>
    </row>
    <row r="43" spans="1:3" x14ac:dyDescent="0.2">
      <c r="A43" t="s">
        <v>164</v>
      </c>
    </row>
    <row r="44" spans="1:3" x14ac:dyDescent="0.2">
      <c r="A44" t="s">
        <v>165</v>
      </c>
    </row>
    <row r="45" spans="1:3" x14ac:dyDescent="0.2">
      <c r="A45" t="s">
        <v>166</v>
      </c>
    </row>
    <row r="48" spans="1:3" x14ac:dyDescent="0.2">
      <c r="A48" t="s">
        <v>168</v>
      </c>
    </row>
    <row r="49" spans="1:1" x14ac:dyDescent="0.2">
      <c r="A49" t="s">
        <v>169</v>
      </c>
    </row>
    <row r="50" spans="1:1" x14ac:dyDescent="0.2">
      <c r="A50" t="s">
        <v>170</v>
      </c>
    </row>
    <row r="51" spans="1:1" x14ac:dyDescent="0.2">
      <c r="A51" t="s">
        <v>171</v>
      </c>
    </row>
    <row r="52" spans="1:1" x14ac:dyDescent="0.2">
      <c r="A52" t="s">
        <v>172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70F70-DDCD-C440-AD6B-BE2F73910CB8}">
  <dimension ref="A1:H18"/>
  <sheetViews>
    <sheetView topLeftCell="B1" workbookViewId="0">
      <selection activeCell="H5" sqref="H5"/>
    </sheetView>
  </sheetViews>
  <sheetFormatPr baseColWidth="10" defaultRowHeight="16" x14ac:dyDescent="0.2"/>
  <cols>
    <col min="2" max="2" width="25.5" customWidth="1"/>
    <col min="3" max="3" width="31.83203125" customWidth="1"/>
    <col min="4" max="4" width="18" customWidth="1"/>
    <col min="5" max="5" width="23.1640625" customWidth="1"/>
  </cols>
  <sheetData>
    <row r="1" spans="1:8" x14ac:dyDescent="0.2">
      <c r="B1">
        <v>1</v>
      </c>
      <c r="C1">
        <v>2</v>
      </c>
      <c r="D1">
        <v>3</v>
      </c>
      <c r="E1">
        <v>4</v>
      </c>
      <c r="G1" t="s">
        <v>150</v>
      </c>
      <c r="H1" t="s">
        <v>151</v>
      </c>
    </row>
    <row r="2" spans="1:8" x14ac:dyDescent="0.2">
      <c r="A2" t="s">
        <v>14</v>
      </c>
      <c r="B2" t="str" cm="1">
        <f t="array" ref="B2">INDEX(签到表!$B$2:$B$17, MATCH($A2 &amp; B$1, 签到表!$D$2:$D$17 &amp; 签到表!$E$2:$E$17, 0))</f>
        <v>Alagbada, Abiodun</v>
      </c>
      <c r="C2" t="str" cm="1">
        <f t="array" ref="C2">INDEX(签到表!$B$2:$B$17, MATCH($A2 &amp; C$1, 签到表!$D$2:$D$17 &amp; 签到表!$E$2:$E$17, 0))</f>
        <v>Maldikar, Ritik</v>
      </c>
      <c r="D2" t="str" cm="1">
        <f t="array" ref="D2">INDEX(签到表!$B$2:$B$17, MATCH($A2 &amp; D$1, 签到表!$D$2:$D$17 &amp; 签到表!$E$2:$E$17, 0))</f>
        <v xml:space="preserve">Shah, Rabin Bikram </v>
      </c>
      <c r="E2" t="str" cm="1">
        <f t="array" ref="E2">INDEX(签到表!$B$2:$B$17, MATCH($A2 &amp; E$1, 签到表!$D$2:$D$17 &amp; 签到表!$E$2:$E$17, 0))</f>
        <v>Mangiameli, Greta</v>
      </c>
    </row>
    <row r="3" spans="1:8" x14ac:dyDescent="0.2">
      <c r="A3" t="s">
        <v>15</v>
      </c>
      <c r="B3" t="str" cm="1">
        <f t="array" ref="B3">INDEX(签到表!$B$2:$B$17, MATCH($A3 &amp; B$1, 签到表!$D$2:$D$17 &amp; 签到表!$E$2:$E$17, 0))</f>
        <v>Amjad, Usama Bin</v>
      </c>
      <c r="C3" t="str" cm="1">
        <f t="array" ref="C3">INDEX(签到表!$B$2:$B$17, MATCH($A3 &amp; C$1, 签到表!$D$2:$D$17 &amp; 签到表!$E$2:$E$17, 0))</f>
        <v xml:space="preserve">Benjamin Rettberg, Benjamin </v>
      </c>
      <c r="D3" t="str" cm="1">
        <f t="array" ref="D3">INDEX(签到表!$B$2:$B$17, MATCH($A3 &amp; D$1, 签到表!$D$2:$D$17 &amp; 签到表!$E$2:$E$17, 0))</f>
        <v>Nguyen, Thomas</v>
      </c>
      <c r="E3" t="str" cm="1">
        <f t="array" ref="E3">INDEX(签到表!$B$2:$B$17, MATCH($A3 &amp; E$1, 签到表!$D$2:$D$17 &amp; 签到表!$E$2:$E$17, 0))</f>
        <v>Ovcarov, Danil</v>
      </c>
      <c r="G3" t="str">
        <f t="shared" ref="G3:G18" si="0">CHAR(65+INT((ROW(G1)-1)/4)) &amp; MOD(ROW(G1)-1,4)+1</f>
        <v>A1</v>
      </c>
      <c r="H3" t="str">
        <f>IFERROR(
    INDEX(签到表!$B$2:$B$17,
        MATCH(G3, 签到表!$C$2:$C$17, 0)
    ),
    "待抽"
)</f>
        <v>Alagbada, Abiodun</v>
      </c>
    </row>
    <row r="4" spans="1:8" x14ac:dyDescent="0.2">
      <c r="A4" t="s">
        <v>16</v>
      </c>
      <c r="B4" t="str" cm="1">
        <f t="array" ref="B4">INDEX(签到表!$B$2:$B$17, MATCH($A4 &amp; B$1, 签到表!$D$2:$D$17 &amp; 签到表!$E$2:$E$17, 0))</f>
        <v>Guorui, Yu</v>
      </c>
      <c r="C4" t="str" cm="1">
        <f t="array" ref="C4">INDEX(签到表!$B$2:$B$17, MATCH($A4 &amp; C$1, 签到表!$D$2:$D$17 &amp; 签到表!$E$2:$E$17, 0))</f>
        <v xml:space="preserve">Alemu, Yohannes </v>
      </c>
      <c r="D4" t="str" cm="1">
        <f t="array" ref="D4">INDEX(签到表!$B$2:$B$17, MATCH($A4 &amp; D$1, 签到表!$D$2:$D$17 &amp; 签到表!$E$2:$E$17, 0))</f>
        <v xml:space="preserve">Hager, Jonathan </v>
      </c>
      <c r="E4" t="str" cm="1">
        <f t="array" ref="E4">INDEX(签到表!$B$2:$B$17, MATCH($A4 &amp; E$1, 签到表!$D$2:$D$17 &amp; 签到表!$E$2:$E$17, 0))</f>
        <v>Schneider, Yaro</v>
      </c>
      <c r="G4" t="str">
        <f t="shared" si="0"/>
        <v>A2</v>
      </c>
      <c r="H4" t="str">
        <f>IFERROR(
    INDEX(签到表!$B$2:$B$17,
        MATCH(G4, 签到表!$C$2:$C$17, 0)
    ),
    "待抽"
)</f>
        <v>Maldikar, Ritik</v>
      </c>
    </row>
    <row r="5" spans="1:8" x14ac:dyDescent="0.2">
      <c r="A5" t="s">
        <v>17</v>
      </c>
      <c r="B5" t="str" cm="1">
        <f t="array" ref="B5">INDEX(签到表!$B$2:$B$17, MATCH($A5 &amp; B$1, 签到表!$D$2:$D$17 &amp; 签到表!$E$2:$E$17, 0))</f>
        <v>Yadav, Amit</v>
      </c>
      <c r="C5" t="str" cm="1">
        <f t="array" ref="C5">INDEX(签到表!$B$2:$B$17, MATCH($A5 &amp; C$1, 签到表!$D$2:$D$17 &amp; 签到表!$E$2:$E$17, 0))</f>
        <v xml:space="preserve">Katwal, Anmol </v>
      </c>
      <c r="D5" t="str" cm="1">
        <f t="array" ref="D5">INDEX(签到表!$B$2:$B$17, MATCH($A5 &amp; D$1, 签到表!$D$2:$D$17 &amp; 签到表!$E$2:$E$17, 0))</f>
        <v>Kühn, Justin</v>
      </c>
      <c r="E5" t="str" cm="1">
        <f t="array" ref="E5">INDEX(签到表!$B$2:$B$17, MATCH($A5 &amp; E$1, 签到表!$D$2:$D$17 &amp; 签到表!$E$2:$E$17, 0))</f>
        <v>Leo Farahwaschy, Leo</v>
      </c>
      <c r="G5" t="str">
        <f t="shared" si="0"/>
        <v>A3</v>
      </c>
      <c r="H5" t="str">
        <f>IFERROR(
    INDEX(签到表!$B$2:$B$17,
        MATCH(G5, 签到表!$C$2:$C$17, 0)
    ),
    "待抽"
)</f>
        <v xml:space="preserve">Shah, Rabin Bikram </v>
      </c>
    </row>
    <row r="6" spans="1:8" x14ac:dyDescent="0.2">
      <c r="G6" t="str">
        <f t="shared" si="0"/>
        <v>A4</v>
      </c>
      <c r="H6" t="str">
        <f>IFERROR(
    INDEX(签到表!$B$2:$B$17,
        MATCH(G6, 签到表!$C$2:$C$17, 0)
    ),
    "待抽"
)</f>
        <v>Mangiameli, Greta</v>
      </c>
    </row>
    <row r="7" spans="1:8" x14ac:dyDescent="0.2">
      <c r="G7" t="str">
        <f t="shared" si="0"/>
        <v>B1</v>
      </c>
      <c r="H7" t="str">
        <f>IFERROR(
    INDEX(签到表!$B$2:$B$17,
        MATCH(G7, 签到表!$C$2:$C$17, 0)
    ),
    "待抽"
)</f>
        <v>Amjad, Usama Bin</v>
      </c>
    </row>
    <row r="8" spans="1:8" x14ac:dyDescent="0.2">
      <c r="G8" t="str">
        <f t="shared" si="0"/>
        <v>B2</v>
      </c>
      <c r="H8" t="str">
        <f>IFERROR(
    INDEX(签到表!$B$2:$B$17,
        MATCH(G8, 签到表!$C$2:$C$17, 0)
    ),
    "待抽"
)</f>
        <v xml:space="preserve">Benjamin Rettberg, Benjamin </v>
      </c>
    </row>
    <row r="9" spans="1:8" x14ac:dyDescent="0.2">
      <c r="G9" t="str">
        <f t="shared" si="0"/>
        <v>B3</v>
      </c>
      <c r="H9" t="str">
        <f>IFERROR(
    INDEX(签到表!$B$2:$B$17,
        MATCH(G9, 签到表!$C$2:$C$17, 0)
    ),
    "待抽"
)</f>
        <v>Nguyen, Thomas</v>
      </c>
    </row>
    <row r="10" spans="1:8" x14ac:dyDescent="0.2">
      <c r="G10" t="str">
        <f t="shared" si="0"/>
        <v>B4</v>
      </c>
      <c r="H10" t="str">
        <f>IFERROR(
    INDEX(签到表!$B$2:$B$17,
        MATCH(G10, 签到表!$C$2:$C$17, 0)
    ),
    "待抽"
)</f>
        <v>Ovcarov, Danil</v>
      </c>
    </row>
    <row r="11" spans="1:8" x14ac:dyDescent="0.2">
      <c r="G11" t="str">
        <f t="shared" si="0"/>
        <v>C1</v>
      </c>
      <c r="H11" t="str">
        <f>IFERROR(
    INDEX(签到表!$B$2:$B$17,
        MATCH(G11, 签到表!$C$2:$C$17, 0)
    ),
    "待抽"
)</f>
        <v>Guorui, Yu</v>
      </c>
    </row>
    <row r="12" spans="1:8" x14ac:dyDescent="0.2">
      <c r="G12" t="str">
        <f t="shared" si="0"/>
        <v>C2</v>
      </c>
      <c r="H12" t="str">
        <f>IFERROR(
    INDEX(签到表!$B$2:$B$17,
        MATCH(G12, 签到表!$C$2:$C$17, 0)
    ),
    "待抽"
)</f>
        <v xml:space="preserve">Alemu, Yohannes </v>
      </c>
    </row>
    <row r="13" spans="1:8" x14ac:dyDescent="0.2">
      <c r="G13" t="str">
        <f t="shared" si="0"/>
        <v>C3</v>
      </c>
      <c r="H13" t="str">
        <f>IFERROR(
    INDEX(签到表!$B$2:$B$17,
        MATCH(G13, 签到表!$C$2:$C$17, 0)
    ),
    "待抽"
)</f>
        <v xml:space="preserve">Hager, Jonathan </v>
      </c>
    </row>
    <row r="14" spans="1:8" x14ac:dyDescent="0.2">
      <c r="G14" t="str">
        <f t="shared" si="0"/>
        <v>C4</v>
      </c>
      <c r="H14" t="str">
        <f>IFERROR(
    INDEX(签到表!$B$2:$B$17,
        MATCH(G14, 签到表!$C$2:$C$17, 0)
    ),
    "待抽"
)</f>
        <v>Schneider, Yaro</v>
      </c>
    </row>
    <row r="15" spans="1:8" x14ac:dyDescent="0.2">
      <c r="G15" t="str">
        <f t="shared" si="0"/>
        <v>D1</v>
      </c>
      <c r="H15" t="str">
        <f>IFERROR(
    INDEX(签到表!$B$2:$B$17,
        MATCH(G15, 签到表!$C$2:$C$17, 0)
    ),
    "待抽"
)</f>
        <v>Yadav, Amit</v>
      </c>
    </row>
    <row r="16" spans="1:8" x14ac:dyDescent="0.2">
      <c r="G16" t="str">
        <f t="shared" si="0"/>
        <v>D2</v>
      </c>
      <c r="H16" t="str">
        <f>IFERROR(
    INDEX(签到表!$B$2:$B$17,
        MATCH(G16, 签到表!$C$2:$C$17, 0)
    ),
    "待抽"
)</f>
        <v xml:space="preserve">Katwal, Anmol </v>
      </c>
    </row>
    <row r="17" spans="7:8" x14ac:dyDescent="0.2">
      <c r="G17" t="str">
        <f t="shared" si="0"/>
        <v>D3</v>
      </c>
      <c r="H17" t="str">
        <f>IFERROR(
    INDEX(签到表!$B$2:$B$17,
        MATCH(G17, 签到表!$C$2:$C$17, 0)
    ),
    "待抽"
)</f>
        <v>Kühn, Justin</v>
      </c>
    </row>
    <row r="18" spans="7:8" x14ac:dyDescent="0.2">
      <c r="G18" t="str">
        <f t="shared" si="0"/>
        <v>D4</v>
      </c>
      <c r="H18" t="str">
        <f>IFERROR(
    INDEX(签到表!$B$2:$B$17,
        MATCH(G18, 签到表!$C$2:$C$17, 0)
    ),
    "待抽"
)</f>
        <v>Leo Farahwaschy, Leo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67A304-C1E7-C34E-970C-864C13A8ABA7}">
  <dimension ref="A1:T32"/>
  <sheetViews>
    <sheetView tabSelected="1" zoomScaleNormal="100" workbookViewId="0">
      <selection activeCell="L19" sqref="L19"/>
    </sheetView>
  </sheetViews>
  <sheetFormatPr baseColWidth="10" defaultRowHeight="16" x14ac:dyDescent="0.2"/>
  <cols>
    <col min="1" max="1" width="10.83203125" style="2"/>
    <col min="2" max="2" width="10.5" style="2" customWidth="1"/>
    <col min="3" max="4" width="13.6640625" style="2" customWidth="1"/>
    <col min="5" max="5" width="10.33203125" style="2" customWidth="1"/>
    <col min="6" max="6" width="14.1640625" style="2" customWidth="1"/>
    <col min="7" max="7" width="17.5" style="19" customWidth="1"/>
    <col min="8" max="8" width="19.33203125" style="2" customWidth="1"/>
    <col min="9" max="9" width="7.1640625" style="2" customWidth="1"/>
    <col min="10" max="12" width="10.83203125" style="2"/>
    <col min="13" max="13" width="20.6640625" style="2" customWidth="1"/>
    <col min="14" max="14" width="21.83203125" style="2" customWidth="1"/>
    <col min="15" max="15" width="19.83203125" style="2" customWidth="1"/>
    <col min="16" max="17" width="32.1640625" style="2" customWidth="1"/>
    <col min="18" max="18" width="25.6640625" style="2" customWidth="1"/>
    <col min="19" max="19" width="20.6640625" style="2" customWidth="1"/>
    <col min="20" max="20" width="16.33203125" style="2" customWidth="1"/>
    <col min="21" max="16384" width="10.83203125" style="2"/>
  </cols>
  <sheetData>
    <row r="1" spans="1:20" x14ac:dyDescent="0.2">
      <c r="A1" s="16"/>
      <c r="B1" s="21" t="s">
        <v>192</v>
      </c>
      <c r="C1" s="22"/>
      <c r="D1" s="22"/>
      <c r="E1" s="22"/>
      <c r="F1" s="22"/>
      <c r="G1" s="22"/>
      <c r="H1" s="23"/>
      <c r="I1" s="39" t="s">
        <v>55</v>
      </c>
      <c r="J1" s="40"/>
      <c r="K1" s="8" t="s">
        <v>56</v>
      </c>
      <c r="L1" s="2" t="s">
        <v>80</v>
      </c>
      <c r="M1" s="8" t="s">
        <v>69</v>
      </c>
      <c r="N1" s="8" t="s">
        <v>70</v>
      </c>
      <c r="O1" s="8" t="s">
        <v>71</v>
      </c>
      <c r="P1" s="8" t="s">
        <v>72</v>
      </c>
      <c r="Q1" s="8" t="s">
        <v>77</v>
      </c>
      <c r="R1" s="8" t="s">
        <v>73</v>
      </c>
      <c r="S1" s="8" t="s">
        <v>74</v>
      </c>
      <c r="T1" s="2" t="s">
        <v>78</v>
      </c>
    </row>
    <row r="2" spans="1:20" ht="17" thickBot="1" x14ac:dyDescent="0.25">
      <c r="A2" s="17"/>
      <c r="B2" s="3"/>
      <c r="C2" s="30" t="s">
        <v>57</v>
      </c>
      <c r="D2" s="31"/>
      <c r="E2" s="30" t="s">
        <v>58</v>
      </c>
      <c r="F2" s="32"/>
      <c r="G2" s="18" t="s">
        <v>59</v>
      </c>
      <c r="H2" s="4" t="s">
        <v>60</v>
      </c>
      <c r="I2" s="41"/>
      <c r="J2" s="42"/>
      <c r="K2" s="8" t="str">
        <f>C3</f>
        <v>A1</v>
      </c>
      <c r="L2" s="2">
        <f>M2*10000+Q2*100+T2</f>
        <v>20004</v>
      </c>
      <c r="M2" s="8">
        <f>COUNTIF($G$3:$G$32,$K2)</f>
        <v>2</v>
      </c>
      <c r="N2" s="8">
        <f>COUNTIF($H$3:$H$32,$K2)</f>
        <v>1</v>
      </c>
      <c r="O2" s="8">
        <f>E7+E17+E27</f>
        <v>4</v>
      </c>
      <c r="P2" s="8">
        <f>F7+F17+F27</f>
        <v>4</v>
      </c>
      <c r="Q2" s="8">
        <f>O2-P2</f>
        <v>0</v>
      </c>
      <c r="R2" s="8">
        <f>+C7+C17+C27</f>
        <v>78</v>
      </c>
      <c r="S2" s="8">
        <f>D7+D17+D27</f>
        <v>74</v>
      </c>
      <c r="T2" s="2">
        <f>R2-S2</f>
        <v>4</v>
      </c>
    </row>
    <row r="3" spans="1:20" x14ac:dyDescent="0.2">
      <c r="A3" s="24">
        <f>J3</f>
        <v>0.72916666666666663</v>
      </c>
      <c r="B3" s="14" t="s">
        <v>61</v>
      </c>
      <c r="C3" s="10" t="s">
        <v>24</v>
      </c>
      <c r="D3" s="15" t="s">
        <v>33</v>
      </c>
      <c r="E3" s="10" t="str">
        <f>C3</f>
        <v>A1</v>
      </c>
      <c r="F3" s="15" t="str">
        <f>D3</f>
        <v>A2</v>
      </c>
      <c r="G3" s="36" t="str">
        <f>IF(E7&gt;F7,E3,F3)</f>
        <v>A1</v>
      </c>
      <c r="H3" s="33" t="str">
        <f>IF(E7&gt;F7,F3,E3)</f>
        <v>A2</v>
      </c>
      <c r="I3" s="2" t="s">
        <v>43</v>
      </c>
      <c r="J3" s="12">
        <v>0.72916666666666663</v>
      </c>
      <c r="K3" s="20" t="str">
        <f>D3</f>
        <v>A2</v>
      </c>
      <c r="L3" s="2">
        <f t="shared" ref="L3:L5" si="0">M3*10000+Q3*100+T3</f>
        <v>10000</v>
      </c>
      <c r="M3" s="8">
        <f t="shared" ref="M3:M5" si="1">COUNTIF($G$3:$G$32,$K3)</f>
        <v>1</v>
      </c>
      <c r="N3" s="8">
        <f t="shared" ref="N3:N5" si="2">COUNTIF($H$3:$H$32,$K3)</f>
        <v>2</v>
      </c>
      <c r="O3" s="8">
        <f>F7+E22+E32</f>
        <v>4</v>
      </c>
      <c r="P3" s="8">
        <f>E7+F22+F32</f>
        <v>4</v>
      </c>
      <c r="Q3" s="8">
        <f t="shared" ref="Q3:Q5" si="3">O3-P3</f>
        <v>0</v>
      </c>
      <c r="R3" s="8">
        <f>D7+C22+C32</f>
        <v>81</v>
      </c>
      <c r="S3" s="8">
        <f>C7+D22+D32</f>
        <v>81</v>
      </c>
      <c r="T3" s="2">
        <f t="shared" ref="T3:T5" si="4">R3-S3</f>
        <v>0</v>
      </c>
    </row>
    <row r="4" spans="1:20" ht="17" thickBot="1" x14ac:dyDescent="0.25">
      <c r="A4" s="29"/>
      <c r="B4" s="26" t="str">
        <f>IF(E7&gt;F7,E3,F3)</f>
        <v>A1</v>
      </c>
      <c r="C4" s="7">
        <v>11</v>
      </c>
      <c r="D4" s="7">
        <v>9</v>
      </c>
      <c r="E4" s="2">
        <f>IF(C4&gt;D4,1,0)</f>
        <v>1</v>
      </c>
      <c r="F4" s="2">
        <f>IF(D4&gt;C4,1,0)</f>
        <v>0</v>
      </c>
      <c r="G4" s="37"/>
      <c r="H4" s="34"/>
      <c r="I4" s="2" t="s">
        <v>44</v>
      </c>
      <c r="J4" s="12">
        <v>0.74652777777777779</v>
      </c>
      <c r="K4" s="8" t="str">
        <f>C8</f>
        <v>A3</v>
      </c>
      <c r="L4" s="2">
        <f t="shared" si="0"/>
        <v>20212</v>
      </c>
      <c r="M4" s="8">
        <f t="shared" si="1"/>
        <v>2</v>
      </c>
      <c r="N4" s="8">
        <f t="shared" si="2"/>
        <v>1</v>
      </c>
      <c r="O4" s="8">
        <f>E12+F17+F32</f>
        <v>4</v>
      </c>
      <c r="P4" s="8">
        <f>F12+E17+E32</f>
        <v>2</v>
      </c>
      <c r="Q4" s="8">
        <f t="shared" si="3"/>
        <v>2</v>
      </c>
      <c r="R4" s="8">
        <f>C12+D17+D32</f>
        <v>61</v>
      </c>
      <c r="S4" s="8">
        <f>D12+C17+C32</f>
        <v>49</v>
      </c>
      <c r="T4" s="2">
        <f t="shared" si="4"/>
        <v>12</v>
      </c>
    </row>
    <row r="5" spans="1:20" x14ac:dyDescent="0.2">
      <c r="B5" s="26"/>
      <c r="C5" s="7">
        <v>9</v>
      </c>
      <c r="D5" s="7">
        <v>11</v>
      </c>
      <c r="E5" s="2">
        <f t="shared" ref="E5:E6" si="5">IF(C5&gt;D5,1,0)</f>
        <v>0</v>
      </c>
      <c r="F5" s="2">
        <f t="shared" ref="F5:F6" si="6">IF(D5&gt;C5,1,0)</f>
        <v>1</v>
      </c>
      <c r="G5" s="37"/>
      <c r="H5" s="34"/>
      <c r="I5" s="2" t="s">
        <v>45</v>
      </c>
      <c r="J5" s="12">
        <v>0.76388888888888895</v>
      </c>
      <c r="K5" s="8" t="str">
        <f>D8</f>
        <v>A4</v>
      </c>
      <c r="L5" s="2">
        <f t="shared" si="0"/>
        <v>9784</v>
      </c>
      <c r="M5" s="8">
        <f t="shared" si="1"/>
        <v>1</v>
      </c>
      <c r="N5" s="8">
        <f t="shared" si="2"/>
        <v>2</v>
      </c>
      <c r="O5" s="8">
        <f>F12+F22+F27</f>
        <v>3</v>
      </c>
      <c r="P5" s="8">
        <f>E12+E22+E27</f>
        <v>5</v>
      </c>
      <c r="Q5" s="8">
        <f t="shared" si="3"/>
        <v>-2</v>
      </c>
      <c r="R5" s="8">
        <f>D12+D22+D27</f>
        <v>68</v>
      </c>
      <c r="S5" s="8">
        <f>C12+C22+C27</f>
        <v>84</v>
      </c>
      <c r="T5" s="2">
        <f t="shared" si="4"/>
        <v>-16</v>
      </c>
    </row>
    <row r="6" spans="1:20" ht="17" thickBot="1" x14ac:dyDescent="0.25">
      <c r="A6" s="9"/>
      <c r="B6" s="26"/>
      <c r="C6" s="7">
        <v>11</v>
      </c>
      <c r="D6" s="7">
        <v>9</v>
      </c>
      <c r="E6" s="2">
        <f t="shared" si="5"/>
        <v>1</v>
      </c>
      <c r="F6" s="2">
        <f t="shared" si="6"/>
        <v>0</v>
      </c>
      <c r="G6" s="37"/>
      <c r="H6" s="34"/>
      <c r="I6" s="2" t="s">
        <v>46</v>
      </c>
      <c r="J6" s="12">
        <v>0.78125</v>
      </c>
      <c r="L6" s="8"/>
      <c r="M6" s="8"/>
      <c r="N6" s="8"/>
      <c r="O6" s="8"/>
      <c r="P6" s="8"/>
      <c r="Q6" s="8"/>
      <c r="R6" s="8"/>
      <c r="S6" s="8"/>
    </row>
    <row r="7" spans="1:20" ht="17" thickBot="1" x14ac:dyDescent="0.25">
      <c r="A7" s="24">
        <f>J4</f>
        <v>0.74652777777777779</v>
      </c>
      <c r="B7" s="5" t="s">
        <v>22</v>
      </c>
      <c r="C7" s="6">
        <f>SUM(C4:C6)</f>
        <v>31</v>
      </c>
      <c r="D7" s="6">
        <f>SUM(D4:D6)</f>
        <v>29</v>
      </c>
      <c r="E7" s="6">
        <f>SUM((E4:E6))</f>
        <v>2</v>
      </c>
      <c r="F7" s="6">
        <f>SUM((F4:F6))</f>
        <v>1</v>
      </c>
      <c r="G7" s="38"/>
      <c r="H7" s="35"/>
      <c r="I7" s="2" t="s">
        <v>47</v>
      </c>
      <c r="J7" s="12">
        <v>0.79861111111111105</v>
      </c>
    </row>
    <row r="8" spans="1:20" ht="17" customHeight="1" thickBot="1" x14ac:dyDescent="0.25">
      <c r="A8" s="29"/>
      <c r="B8" s="14" t="s">
        <v>62</v>
      </c>
      <c r="C8" s="10" t="s">
        <v>38</v>
      </c>
      <c r="D8" s="10" t="s">
        <v>34</v>
      </c>
      <c r="E8" s="10" t="str">
        <f>C8</f>
        <v>A3</v>
      </c>
      <c r="F8" s="10" t="str">
        <f>D8</f>
        <v>A4</v>
      </c>
      <c r="G8" s="36" t="str">
        <f t="shared" ref="G8" si="7">IF(E12&gt;F12,E8,F8)</f>
        <v>A3</v>
      </c>
      <c r="H8" s="33" t="str">
        <f t="shared" ref="H8" si="8">IF(E12&gt;F12,F8,E8)</f>
        <v>A4</v>
      </c>
      <c r="I8" s="2" t="s">
        <v>48</v>
      </c>
      <c r="J8" s="12">
        <v>0.81597222222222199</v>
      </c>
      <c r="K8" s="8"/>
    </row>
    <row r="9" spans="1:20" ht="17" thickBot="1" x14ac:dyDescent="0.25">
      <c r="A9" s="9"/>
      <c r="B9" s="26" t="str">
        <f>IF(E12&gt;F12,E8,F8)</f>
        <v>A3</v>
      </c>
      <c r="C9" s="7">
        <v>11</v>
      </c>
      <c r="D9" s="7">
        <v>5</v>
      </c>
      <c r="E9" s="2">
        <f>IF(C9&gt;D9,1,0)</f>
        <v>1</v>
      </c>
      <c r="F9" s="2">
        <f>IF(D9&gt;C9,1,0)</f>
        <v>0</v>
      </c>
      <c r="G9" s="37"/>
      <c r="H9" s="34"/>
      <c r="I9" s="6" t="s">
        <v>49</v>
      </c>
      <c r="J9" s="13">
        <v>0.83333333333333404</v>
      </c>
      <c r="K9" s="8"/>
    </row>
    <row r="10" spans="1:20" x14ac:dyDescent="0.2">
      <c r="B10" s="26"/>
      <c r="C10" s="7">
        <v>11</v>
      </c>
      <c r="D10" s="7">
        <v>7</v>
      </c>
      <c r="E10" s="2">
        <f t="shared" ref="E10:E11" si="9">IF(C10&gt;D10,1,0)</f>
        <v>1</v>
      </c>
      <c r="F10" s="2">
        <f t="shared" ref="F10:F11" si="10">IF(D10&gt;C10,1,0)</f>
        <v>0</v>
      </c>
      <c r="G10" s="37"/>
      <c r="H10" s="34"/>
      <c r="J10" s="9"/>
      <c r="K10" s="8"/>
    </row>
    <row r="11" spans="1:20" ht="17" thickBot="1" x14ac:dyDescent="0.25">
      <c r="A11" s="9"/>
      <c r="B11" s="26"/>
      <c r="C11" s="7"/>
      <c r="D11" s="7"/>
      <c r="E11" s="2">
        <f t="shared" si="9"/>
        <v>0</v>
      </c>
      <c r="F11" s="2">
        <f t="shared" si="10"/>
        <v>0</v>
      </c>
      <c r="G11" s="37"/>
      <c r="H11" s="34"/>
      <c r="J11" s="9"/>
      <c r="K11" s="8"/>
    </row>
    <row r="12" spans="1:20" ht="17" thickBot="1" x14ac:dyDescent="0.25">
      <c r="A12" s="24">
        <f>J5</f>
        <v>0.76388888888888895</v>
      </c>
      <c r="B12" s="5" t="s">
        <v>22</v>
      </c>
      <c r="C12" s="6">
        <f>SUM(C9:C11)</f>
        <v>22</v>
      </c>
      <c r="D12" s="6">
        <f>SUM(D9:D11)</f>
        <v>12</v>
      </c>
      <c r="E12" s="6">
        <f>SUM(E9:E11)</f>
        <v>2</v>
      </c>
      <c r="F12" s="6">
        <f>SUM(F9:F11)</f>
        <v>0</v>
      </c>
      <c r="G12" s="38"/>
      <c r="H12" s="35"/>
      <c r="I12" s="8"/>
      <c r="J12" s="8"/>
      <c r="K12" s="8"/>
      <c r="L12" s="8"/>
      <c r="M12" s="8"/>
      <c r="N12" s="8"/>
      <c r="O12" s="8"/>
    </row>
    <row r="13" spans="1:20" ht="17" customHeight="1" thickBot="1" x14ac:dyDescent="0.25">
      <c r="A13" s="29"/>
      <c r="B13" s="14" t="s">
        <v>63</v>
      </c>
      <c r="C13" s="10" t="s">
        <v>24</v>
      </c>
      <c r="D13" s="10" t="s">
        <v>38</v>
      </c>
      <c r="E13" s="10" t="str">
        <f>C13</f>
        <v>A1</v>
      </c>
      <c r="F13" s="10" t="str">
        <f>D13</f>
        <v>A3</v>
      </c>
      <c r="G13" s="36" t="str">
        <f t="shared" ref="G13" si="11">IF(E17&gt;F17,E13,F13)</f>
        <v>A3</v>
      </c>
      <c r="H13" s="33" t="str">
        <f t="shared" ref="H13" si="12">IF(E17&gt;F17,F13,E13)</f>
        <v>A1</v>
      </c>
      <c r="I13" s="8"/>
      <c r="J13" s="8"/>
      <c r="K13" s="8"/>
      <c r="L13" s="8" t="s">
        <v>67</v>
      </c>
      <c r="M13" s="8"/>
      <c r="N13" s="8"/>
      <c r="O13" s="8"/>
    </row>
    <row r="14" spans="1:20" x14ac:dyDescent="0.2">
      <c r="A14" s="9"/>
      <c r="B14" s="27" t="str">
        <f>IF(E17&gt;F17,E13,F13)</f>
        <v>A3</v>
      </c>
      <c r="C14" s="7">
        <v>7</v>
      </c>
      <c r="D14" s="7">
        <v>11</v>
      </c>
      <c r="E14" s="2">
        <f>IF(C14&gt;D14,1,0)</f>
        <v>0</v>
      </c>
      <c r="F14" s="2">
        <f>IF(D14&gt;C14,1,0)</f>
        <v>1</v>
      </c>
      <c r="G14" s="37"/>
      <c r="H14" s="34"/>
      <c r="I14" s="8"/>
      <c r="J14" s="8"/>
      <c r="K14" s="8"/>
      <c r="L14" s="8" t="s">
        <v>68</v>
      </c>
      <c r="M14" s="8"/>
      <c r="N14" s="8"/>
      <c r="O14" s="8"/>
    </row>
    <row r="15" spans="1:20" x14ac:dyDescent="0.2">
      <c r="B15" s="26"/>
      <c r="C15" s="7">
        <v>8</v>
      </c>
      <c r="D15" s="7">
        <v>11</v>
      </c>
      <c r="E15" s="2">
        <f>IF(C15&gt;D15,1,0)</f>
        <v>0</v>
      </c>
      <c r="F15" s="2">
        <f t="shared" ref="F15:F16" si="13">IF(D15&gt;C15,1,0)</f>
        <v>1</v>
      </c>
      <c r="G15" s="37"/>
      <c r="H15" s="34"/>
      <c r="I15" s="8"/>
      <c r="J15" s="8"/>
      <c r="K15" s="8"/>
      <c r="L15" s="8" t="s">
        <v>79</v>
      </c>
      <c r="M15" s="8"/>
      <c r="N15" s="8"/>
      <c r="O15" s="8"/>
    </row>
    <row r="16" spans="1:20" ht="17" thickBot="1" x14ac:dyDescent="0.25">
      <c r="B16" s="26"/>
      <c r="C16" s="7"/>
      <c r="D16" s="7"/>
      <c r="E16" s="2">
        <f>IF(C16&gt;D16,1,0)</f>
        <v>0</v>
      </c>
      <c r="F16" s="2">
        <f t="shared" si="13"/>
        <v>0</v>
      </c>
      <c r="G16" s="37"/>
      <c r="H16" s="34"/>
      <c r="I16" s="8"/>
      <c r="J16" s="8"/>
      <c r="K16" s="8"/>
      <c r="L16" s="8" t="s">
        <v>75</v>
      </c>
      <c r="M16" s="8"/>
      <c r="N16" s="8"/>
      <c r="O16" s="8"/>
    </row>
    <row r="17" spans="1:12" ht="17" thickBot="1" x14ac:dyDescent="0.25">
      <c r="A17" s="24">
        <f>J6</f>
        <v>0.78125</v>
      </c>
      <c r="B17" s="5" t="s">
        <v>22</v>
      </c>
      <c r="C17" s="6">
        <f>SUM(C14:C16)</f>
        <v>15</v>
      </c>
      <c r="D17" s="6">
        <f>SUM(D14:D16)</f>
        <v>22</v>
      </c>
      <c r="E17" s="6">
        <f>SUM(E14:E16)</f>
        <v>0</v>
      </c>
      <c r="F17" s="6">
        <f>SUM(F14:F16)</f>
        <v>2</v>
      </c>
      <c r="G17" s="38"/>
      <c r="H17" s="35"/>
      <c r="L17" s="2" t="s">
        <v>76</v>
      </c>
    </row>
    <row r="18" spans="1:12" ht="17" thickBot="1" x14ac:dyDescent="0.25">
      <c r="A18" s="29"/>
      <c r="B18" s="14" t="s">
        <v>64</v>
      </c>
      <c r="C18" s="10" t="s">
        <v>33</v>
      </c>
      <c r="D18" s="10" t="s">
        <v>34</v>
      </c>
      <c r="E18" s="10" t="str">
        <f>C18</f>
        <v>A2</v>
      </c>
      <c r="F18" s="10" t="str">
        <f>D18</f>
        <v>A4</v>
      </c>
      <c r="G18" s="36" t="str">
        <f t="shared" ref="G18" si="14">IF(E22&gt;F22,E18,F18)</f>
        <v>A4</v>
      </c>
      <c r="H18" s="33" t="str">
        <f t="shared" ref="H18" si="15">IF(E22&gt;F22,F18,E18)</f>
        <v>A2</v>
      </c>
    </row>
    <row r="19" spans="1:12" x14ac:dyDescent="0.2">
      <c r="B19" s="28" t="str">
        <f>IF(E22&gt;F22,E18,F18)</f>
        <v>A4</v>
      </c>
      <c r="C19" s="7">
        <v>11</v>
      </c>
      <c r="D19" s="7">
        <v>13</v>
      </c>
      <c r="E19" s="2">
        <f>IF(C19&gt;D19,1,0)</f>
        <v>0</v>
      </c>
      <c r="F19" s="2">
        <f>IF(D19&gt;C19,1,0)</f>
        <v>1</v>
      </c>
      <c r="G19" s="37"/>
      <c r="H19" s="34"/>
    </row>
    <row r="20" spans="1:12" x14ac:dyDescent="0.2">
      <c r="B20" s="28"/>
      <c r="C20" s="7">
        <v>8</v>
      </c>
      <c r="D20" s="7">
        <v>11</v>
      </c>
      <c r="E20" s="2">
        <f>IF(C20&gt;D20,1,0)</f>
        <v>0</v>
      </c>
      <c r="F20" s="2">
        <f>IF(D20&gt;C20,1,0)</f>
        <v>1</v>
      </c>
      <c r="G20" s="37"/>
      <c r="H20" s="34"/>
    </row>
    <row r="21" spans="1:12" ht="17" thickBot="1" x14ac:dyDescent="0.25">
      <c r="B21" s="28"/>
      <c r="C21" s="7">
        <v>11</v>
      </c>
      <c r="D21" s="7">
        <v>9</v>
      </c>
      <c r="E21" s="2">
        <f>IF(C21&gt;D21,1,0)</f>
        <v>1</v>
      </c>
      <c r="F21" s="2">
        <f>IF(D21&gt;C21,1,0)</f>
        <v>0</v>
      </c>
      <c r="G21" s="37"/>
      <c r="H21" s="34"/>
    </row>
    <row r="22" spans="1:12" ht="17" thickBot="1" x14ac:dyDescent="0.25">
      <c r="A22" s="24">
        <f>J7</f>
        <v>0.79861111111111105</v>
      </c>
      <c r="B22" s="5" t="s">
        <v>22</v>
      </c>
      <c r="C22" s="6">
        <f>SUM(C19:C21)</f>
        <v>30</v>
      </c>
      <c r="D22" s="6">
        <f t="shared" ref="D22:F22" si="16">SUM(D19:D21)</f>
        <v>33</v>
      </c>
      <c r="E22" s="6">
        <f t="shared" si="16"/>
        <v>1</v>
      </c>
      <c r="F22" s="6">
        <f t="shared" si="16"/>
        <v>2</v>
      </c>
      <c r="G22" s="38"/>
      <c r="H22" s="35"/>
    </row>
    <row r="23" spans="1:12" ht="17" thickBot="1" x14ac:dyDescent="0.25">
      <c r="A23" s="25"/>
      <c r="B23" s="14" t="s">
        <v>65</v>
      </c>
      <c r="C23" s="10" t="s">
        <v>24</v>
      </c>
      <c r="D23" s="10" t="s">
        <v>34</v>
      </c>
      <c r="E23" s="10" t="str">
        <f>C23</f>
        <v>A1</v>
      </c>
      <c r="F23" s="10" t="str">
        <f>D23</f>
        <v>A4</v>
      </c>
      <c r="G23" s="36" t="str">
        <f t="shared" ref="G23" si="17">IF(E27&gt;F27,E23,F23)</f>
        <v>A1</v>
      </c>
      <c r="H23" s="33" t="str">
        <f t="shared" ref="H23" si="18">IF(E27&gt;F27,F23,E23)</f>
        <v>A4</v>
      </c>
    </row>
    <row r="24" spans="1:12" x14ac:dyDescent="0.2">
      <c r="B24" s="28" t="str">
        <f>IF(E27&gt;F27,E23,F23)</f>
        <v>A1</v>
      </c>
      <c r="C24" s="7">
        <v>10</v>
      </c>
      <c r="D24" s="7">
        <v>12</v>
      </c>
      <c r="E24" s="2">
        <f>IF(C24&gt;D24,1,0)</f>
        <v>0</v>
      </c>
      <c r="F24" s="2">
        <f>IF(D24&gt;C24,1,0)</f>
        <v>1</v>
      </c>
      <c r="G24" s="37"/>
      <c r="H24" s="34"/>
    </row>
    <row r="25" spans="1:12" x14ac:dyDescent="0.2">
      <c r="B25" s="28"/>
      <c r="C25" s="7">
        <v>11</v>
      </c>
      <c r="D25" s="7">
        <v>5</v>
      </c>
      <c r="E25" s="2">
        <f t="shared" ref="E25:E26" si="19">IF(C25&gt;D25,1,0)</f>
        <v>1</v>
      </c>
      <c r="F25" s="2">
        <f t="shared" ref="F25:F26" si="20">IF(D25&gt;C25,1,0)</f>
        <v>0</v>
      </c>
      <c r="G25" s="37"/>
      <c r="H25" s="34"/>
    </row>
    <row r="26" spans="1:12" ht="17" thickBot="1" x14ac:dyDescent="0.25">
      <c r="B26" s="28"/>
      <c r="C26" s="7">
        <v>11</v>
      </c>
      <c r="D26" s="7">
        <v>6</v>
      </c>
      <c r="E26" s="2">
        <f t="shared" si="19"/>
        <v>1</v>
      </c>
      <c r="F26" s="2">
        <f t="shared" si="20"/>
        <v>0</v>
      </c>
      <c r="G26" s="37"/>
      <c r="H26" s="34"/>
    </row>
    <row r="27" spans="1:12" ht="17" thickBot="1" x14ac:dyDescent="0.25">
      <c r="A27" s="24">
        <f>J8</f>
        <v>0.81597222222222199</v>
      </c>
      <c r="B27" s="5" t="s">
        <v>22</v>
      </c>
      <c r="C27" s="6">
        <f>SUM(C24:C26)</f>
        <v>32</v>
      </c>
      <c r="D27" s="6">
        <f t="shared" ref="D27:F27" si="21">SUM(D24:D26)</f>
        <v>23</v>
      </c>
      <c r="E27" s="6">
        <f t="shared" si="21"/>
        <v>2</v>
      </c>
      <c r="F27" s="6">
        <f t="shared" si="21"/>
        <v>1</v>
      </c>
      <c r="G27" s="38"/>
      <c r="H27" s="35"/>
    </row>
    <row r="28" spans="1:12" ht="17" thickBot="1" x14ac:dyDescent="0.25">
      <c r="A28" s="25"/>
      <c r="B28" s="14" t="s">
        <v>66</v>
      </c>
      <c r="C28" s="10" t="s">
        <v>33</v>
      </c>
      <c r="D28" s="10" t="s">
        <v>38</v>
      </c>
      <c r="E28" s="10" t="str">
        <f>C28</f>
        <v>A2</v>
      </c>
      <c r="F28" s="10" t="str">
        <f>D28</f>
        <v>A3</v>
      </c>
      <c r="G28" s="36" t="str">
        <f t="shared" ref="G28" si="22">IF(E32&gt;F32,E28,F28)</f>
        <v>A2</v>
      </c>
      <c r="H28" s="33" t="str">
        <f>IF(E32&gt;F32,F28,E28)</f>
        <v>A3</v>
      </c>
    </row>
    <row r="29" spans="1:12" x14ac:dyDescent="0.2">
      <c r="B29" s="28" t="str">
        <f>IF(E32&gt;F32,E28,F28)</f>
        <v>A2</v>
      </c>
      <c r="C29" s="7">
        <v>11</v>
      </c>
      <c r="D29" s="7">
        <v>9</v>
      </c>
      <c r="E29" s="2">
        <f>IF(C29&gt;D29,1,0)</f>
        <v>1</v>
      </c>
      <c r="F29" s="2">
        <f>IF(D29&gt;C29,1,0)</f>
        <v>0</v>
      </c>
      <c r="G29" s="37"/>
      <c r="H29" s="34"/>
    </row>
    <row r="30" spans="1:12" ht="17" thickBot="1" x14ac:dyDescent="0.25">
      <c r="B30" s="28"/>
      <c r="C30" s="7">
        <v>11</v>
      </c>
      <c r="D30" s="7">
        <v>8</v>
      </c>
      <c r="E30" s="2">
        <f t="shared" ref="E30:E31" si="23">IF(C30&gt;D30,1,0)</f>
        <v>1</v>
      </c>
      <c r="F30" s="2">
        <f t="shared" ref="F30:F31" si="24">IF(D30&gt;C30,1,0)</f>
        <v>0</v>
      </c>
      <c r="G30" s="37"/>
      <c r="H30" s="34"/>
    </row>
    <row r="31" spans="1:12" x14ac:dyDescent="0.2">
      <c r="A31" s="24">
        <f>J9</f>
        <v>0.83333333333333404</v>
      </c>
      <c r="B31" s="28"/>
      <c r="C31" s="7"/>
      <c r="D31" s="7"/>
      <c r="E31" s="2">
        <f t="shared" si="23"/>
        <v>0</v>
      </c>
      <c r="F31" s="2">
        <f t="shared" si="24"/>
        <v>0</v>
      </c>
      <c r="G31" s="37"/>
      <c r="H31" s="34"/>
    </row>
    <row r="32" spans="1:12" ht="17" thickBot="1" x14ac:dyDescent="0.25">
      <c r="A32" s="25"/>
      <c r="B32" s="5" t="s">
        <v>22</v>
      </c>
      <c r="C32" s="6">
        <f>SUM(C29:C31)</f>
        <v>22</v>
      </c>
      <c r="D32" s="6">
        <f t="shared" ref="D32:F32" si="25">SUM(D29:D31)</f>
        <v>17</v>
      </c>
      <c r="E32" s="6">
        <f t="shared" si="25"/>
        <v>2</v>
      </c>
      <c r="F32" s="6">
        <f t="shared" si="25"/>
        <v>0</v>
      </c>
      <c r="G32" s="38"/>
      <c r="H32" s="35"/>
    </row>
  </sheetData>
  <mergeCells count="28">
    <mergeCell ref="I1:J2"/>
    <mergeCell ref="H8:H12"/>
    <mergeCell ref="H13:H17"/>
    <mergeCell ref="H18:H22"/>
    <mergeCell ref="H23:H27"/>
    <mergeCell ref="C2:D2"/>
    <mergeCell ref="E2:F2"/>
    <mergeCell ref="H3:H7"/>
    <mergeCell ref="B24:B26"/>
    <mergeCell ref="B29:B31"/>
    <mergeCell ref="G23:G27"/>
    <mergeCell ref="G28:G32"/>
    <mergeCell ref="H28:H32"/>
    <mergeCell ref="G3:G7"/>
    <mergeCell ref="G8:G12"/>
    <mergeCell ref="G13:G17"/>
    <mergeCell ref="G18:G22"/>
    <mergeCell ref="A27:A28"/>
    <mergeCell ref="A31:A32"/>
    <mergeCell ref="B4:B6"/>
    <mergeCell ref="B9:B11"/>
    <mergeCell ref="B14:B16"/>
    <mergeCell ref="B19:B21"/>
    <mergeCell ref="A7:A8"/>
    <mergeCell ref="A3:A4"/>
    <mergeCell ref="A12:A13"/>
    <mergeCell ref="A17:A18"/>
    <mergeCell ref="A22:A2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CB97C-D089-4245-9AE4-7B8C8B448DDA}">
  <dimension ref="A1:T32"/>
  <sheetViews>
    <sheetView topLeftCell="A8" workbookViewId="0">
      <selection activeCell="C29" sqref="C29"/>
    </sheetView>
  </sheetViews>
  <sheetFormatPr baseColWidth="10" defaultRowHeight="16" x14ac:dyDescent="0.2"/>
  <sheetData>
    <row r="1" spans="1:20" x14ac:dyDescent="0.2">
      <c r="A1" s="16"/>
      <c r="B1" s="21" t="s">
        <v>83</v>
      </c>
      <c r="C1" s="22"/>
      <c r="D1" s="22"/>
      <c r="E1" s="22"/>
      <c r="F1" s="22"/>
      <c r="G1" s="22"/>
      <c r="H1" s="23"/>
      <c r="I1" s="39" t="s">
        <v>55</v>
      </c>
      <c r="J1" s="40"/>
      <c r="K1" s="8" t="s">
        <v>56</v>
      </c>
      <c r="L1" s="2" t="s">
        <v>84</v>
      </c>
      <c r="M1" s="8" t="s">
        <v>85</v>
      </c>
      <c r="N1" s="8" t="s">
        <v>86</v>
      </c>
      <c r="O1" s="8" t="s">
        <v>87</v>
      </c>
      <c r="P1" s="8" t="s">
        <v>88</v>
      </c>
      <c r="Q1" s="8" t="s">
        <v>89</v>
      </c>
      <c r="R1" s="8" t="s">
        <v>73</v>
      </c>
      <c r="S1" s="8" t="s">
        <v>74</v>
      </c>
      <c r="T1" s="2" t="s">
        <v>78</v>
      </c>
    </row>
    <row r="2" spans="1:20" ht="17" thickBot="1" x14ac:dyDescent="0.25">
      <c r="A2" s="17"/>
      <c r="B2" s="3"/>
      <c r="C2" s="30" t="s">
        <v>90</v>
      </c>
      <c r="D2" s="31"/>
      <c r="E2" s="30" t="s">
        <v>91</v>
      </c>
      <c r="F2" s="32"/>
      <c r="G2" s="18" t="s">
        <v>92</v>
      </c>
      <c r="H2" s="4" t="s">
        <v>93</v>
      </c>
      <c r="I2" s="41"/>
      <c r="J2" s="42"/>
      <c r="K2" s="8" t="str">
        <f>C3</f>
        <v>B1</v>
      </c>
      <c r="L2" s="2">
        <f>M2*10000+Q2*100+T2</f>
        <v>19999</v>
      </c>
      <c r="M2" s="8">
        <f>COUNTIF($G$3:$G$32,$K2)</f>
        <v>2</v>
      </c>
      <c r="N2" s="8">
        <f>COUNTIF($H$3:$H$32,$K2)</f>
        <v>1</v>
      </c>
      <c r="O2" s="8">
        <f>E7+E17+E27</f>
        <v>4</v>
      </c>
      <c r="P2" s="8">
        <f>F7+F17+F27</f>
        <v>4</v>
      </c>
      <c r="Q2" s="8">
        <f>O2-P2</f>
        <v>0</v>
      </c>
      <c r="R2" s="8">
        <f>+C7+C17+C27</f>
        <v>74</v>
      </c>
      <c r="S2" s="8">
        <f>D7+D17+D27</f>
        <v>75</v>
      </c>
      <c r="T2" s="2">
        <f>R2-S2</f>
        <v>-1</v>
      </c>
    </row>
    <row r="3" spans="1:20" x14ac:dyDescent="0.2">
      <c r="A3" s="24">
        <f>J3</f>
        <v>0.72916666666666663</v>
      </c>
      <c r="B3" s="14" t="s">
        <v>94</v>
      </c>
      <c r="C3" s="10" t="s">
        <v>26</v>
      </c>
      <c r="D3" s="15" t="s">
        <v>27</v>
      </c>
      <c r="E3" s="10" t="str">
        <f>C3</f>
        <v>B1</v>
      </c>
      <c r="F3" s="15" t="str">
        <f>D3</f>
        <v>B2</v>
      </c>
      <c r="G3" s="36" t="str">
        <f>IF(E7&gt;F7,E3,F3)</f>
        <v>B1</v>
      </c>
      <c r="H3" s="33" t="str">
        <f>IF(E7&gt;F7,F3,E3)</f>
        <v>B2</v>
      </c>
      <c r="I3" s="2" t="s">
        <v>43</v>
      </c>
      <c r="J3" s="12">
        <v>0.72916666666666663</v>
      </c>
      <c r="K3" s="20" t="str">
        <f>D3</f>
        <v>B2</v>
      </c>
      <c r="L3" s="2">
        <f t="shared" ref="L3:L5" si="0">M3*10000+Q3*100+T3</f>
        <v>10109</v>
      </c>
      <c r="M3" s="8">
        <f t="shared" ref="M3:M5" si="1">COUNTIF($G$3:$G$32,$K3)</f>
        <v>1</v>
      </c>
      <c r="N3" s="8">
        <f t="shared" ref="N3:N5" si="2">COUNTIF($H$3:$H$32,$K3)</f>
        <v>2</v>
      </c>
      <c r="O3" s="8">
        <f>F7+E22+E32</f>
        <v>4</v>
      </c>
      <c r="P3" s="8">
        <f>E7+F22+F32</f>
        <v>3</v>
      </c>
      <c r="Q3" s="8">
        <f t="shared" ref="Q3:Q5" si="3">O3-P3</f>
        <v>1</v>
      </c>
      <c r="R3" s="8">
        <f>D7+C22+C32</f>
        <v>74</v>
      </c>
      <c r="S3" s="8">
        <f>C7+D22+D32</f>
        <v>65</v>
      </c>
      <c r="T3" s="2">
        <f t="shared" ref="T3:T5" si="4">R3-S3</f>
        <v>9</v>
      </c>
    </row>
    <row r="4" spans="1:20" ht="17" thickBot="1" x14ac:dyDescent="0.25">
      <c r="A4" s="29"/>
      <c r="B4" s="26" t="str">
        <f>IF(E7&gt;F7,E3,F3)</f>
        <v>B1</v>
      </c>
      <c r="C4" s="7">
        <v>11</v>
      </c>
      <c r="D4" s="7">
        <v>10</v>
      </c>
      <c r="E4" s="2">
        <f>IF(C4&gt;D4,1,0)</f>
        <v>1</v>
      </c>
      <c r="F4" s="2">
        <f>IF(D4&gt;C4,1,0)</f>
        <v>0</v>
      </c>
      <c r="G4" s="37"/>
      <c r="H4" s="34"/>
      <c r="I4" s="2" t="s">
        <v>44</v>
      </c>
      <c r="J4" s="12">
        <v>0.74652777777777779</v>
      </c>
      <c r="K4" s="8" t="str">
        <f>C8</f>
        <v>B3</v>
      </c>
      <c r="L4" s="2">
        <f t="shared" si="0"/>
        <v>20215</v>
      </c>
      <c r="M4" s="8">
        <f t="shared" si="1"/>
        <v>2</v>
      </c>
      <c r="N4" s="8">
        <f t="shared" si="2"/>
        <v>1</v>
      </c>
      <c r="O4" s="8">
        <f>E12+F17+F32</f>
        <v>4</v>
      </c>
      <c r="P4" s="8">
        <f>F12+E17+E32</f>
        <v>2</v>
      </c>
      <c r="Q4" s="8">
        <f t="shared" si="3"/>
        <v>2</v>
      </c>
      <c r="R4" s="8">
        <f>C12+D17+D32</f>
        <v>61</v>
      </c>
      <c r="S4" s="8">
        <f>D12+C17+C32</f>
        <v>46</v>
      </c>
      <c r="T4" s="2">
        <f t="shared" si="4"/>
        <v>15</v>
      </c>
    </row>
    <row r="5" spans="1:20" x14ac:dyDescent="0.2">
      <c r="A5" s="2"/>
      <c r="B5" s="26"/>
      <c r="C5" s="7">
        <v>4</v>
      </c>
      <c r="D5" s="7">
        <v>11</v>
      </c>
      <c r="E5" s="2">
        <f t="shared" ref="E5:E6" si="5">IF(C5&gt;D5,1,0)</f>
        <v>0</v>
      </c>
      <c r="F5" s="2">
        <f t="shared" ref="F5:F6" si="6">IF(D5&gt;C5,1,0)</f>
        <v>1</v>
      </c>
      <c r="G5" s="37"/>
      <c r="H5" s="34"/>
      <c r="I5" s="2" t="s">
        <v>45</v>
      </c>
      <c r="J5" s="12">
        <v>0.76388888888888895</v>
      </c>
      <c r="K5" s="8" t="str">
        <f>D8</f>
        <v>B4</v>
      </c>
      <c r="L5" s="2">
        <f t="shared" si="0"/>
        <v>9677</v>
      </c>
      <c r="M5" s="8">
        <f t="shared" si="1"/>
        <v>1</v>
      </c>
      <c r="N5" s="8">
        <f t="shared" si="2"/>
        <v>2</v>
      </c>
      <c r="O5" s="8">
        <f>F12+F22+F27</f>
        <v>2</v>
      </c>
      <c r="P5" s="8">
        <f>E12+E22+E27</f>
        <v>5</v>
      </c>
      <c r="Q5" s="8">
        <f t="shared" si="3"/>
        <v>-3</v>
      </c>
      <c r="R5" s="8">
        <f>D12+D22+D27</f>
        <v>53</v>
      </c>
      <c r="S5" s="8">
        <f>C12+C22+C27</f>
        <v>76</v>
      </c>
      <c r="T5" s="2">
        <f t="shared" si="4"/>
        <v>-23</v>
      </c>
    </row>
    <row r="6" spans="1:20" ht="17" thickBot="1" x14ac:dyDescent="0.25">
      <c r="A6" s="9"/>
      <c r="B6" s="26"/>
      <c r="C6" s="7">
        <v>11</v>
      </c>
      <c r="D6" s="7">
        <v>9</v>
      </c>
      <c r="E6" s="2">
        <f t="shared" si="5"/>
        <v>1</v>
      </c>
      <c r="F6" s="2">
        <f t="shared" si="6"/>
        <v>0</v>
      </c>
      <c r="G6" s="37"/>
      <c r="H6" s="34"/>
      <c r="I6" s="2" t="s">
        <v>46</v>
      </c>
      <c r="J6" s="12">
        <v>0.78125</v>
      </c>
      <c r="K6" s="2"/>
      <c r="L6" s="8"/>
      <c r="M6" s="8"/>
      <c r="N6" s="8"/>
      <c r="O6" s="8"/>
      <c r="P6" s="8"/>
      <c r="Q6" s="8"/>
      <c r="R6" s="8"/>
      <c r="S6" s="8"/>
      <c r="T6" s="2"/>
    </row>
    <row r="7" spans="1:20" ht="17" thickBot="1" x14ac:dyDescent="0.25">
      <c r="A7" s="24">
        <f>J4</f>
        <v>0.74652777777777779</v>
      </c>
      <c r="B7" s="5" t="s">
        <v>22</v>
      </c>
      <c r="C7" s="6">
        <f>SUM(C4:C6)</f>
        <v>26</v>
      </c>
      <c r="D7" s="6">
        <f>SUM(D4:D6)</f>
        <v>30</v>
      </c>
      <c r="E7" s="6">
        <f>SUM((E4:E6))</f>
        <v>2</v>
      </c>
      <c r="F7" s="6">
        <f>SUM((F4:F6))</f>
        <v>1</v>
      </c>
      <c r="G7" s="38"/>
      <c r="H7" s="35"/>
      <c r="I7" s="2" t="s">
        <v>47</v>
      </c>
      <c r="J7" s="12">
        <v>0.79861111111111105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7" thickBot="1" x14ac:dyDescent="0.25">
      <c r="A8" s="29"/>
      <c r="B8" s="14" t="s">
        <v>95</v>
      </c>
      <c r="C8" s="10" t="s">
        <v>35</v>
      </c>
      <c r="D8" s="10" t="s">
        <v>36</v>
      </c>
      <c r="E8" s="10" t="str">
        <f>C8</f>
        <v>B3</v>
      </c>
      <c r="F8" s="10" t="str">
        <f>D8</f>
        <v>B4</v>
      </c>
      <c r="G8" s="36" t="str">
        <f t="shared" ref="G8" si="7">IF(E12&gt;F12,E8,F8)</f>
        <v>B3</v>
      </c>
      <c r="H8" s="33" t="str">
        <f t="shared" ref="H8" si="8">IF(E12&gt;F12,F8,E8)</f>
        <v>B4</v>
      </c>
      <c r="I8" s="2" t="s">
        <v>48</v>
      </c>
      <c r="J8" s="12">
        <v>0.81597222222222199</v>
      </c>
      <c r="K8" s="8"/>
      <c r="L8" s="2"/>
      <c r="M8" s="2"/>
      <c r="N8" s="2"/>
      <c r="O8" s="2"/>
      <c r="P8" s="2"/>
      <c r="Q8" s="2"/>
      <c r="R8" s="2"/>
      <c r="S8" s="2"/>
      <c r="T8" s="2"/>
    </row>
    <row r="9" spans="1:20" ht="17" thickBot="1" x14ac:dyDescent="0.25">
      <c r="A9" s="9"/>
      <c r="B9" s="26" t="str">
        <f>IF(E12&gt;F12,E8,F8)</f>
        <v>B3</v>
      </c>
      <c r="C9" s="7">
        <v>11</v>
      </c>
      <c r="D9" s="7">
        <v>5</v>
      </c>
      <c r="E9" s="2">
        <f>IF(C9&gt;D9,1,0)</f>
        <v>1</v>
      </c>
      <c r="F9" s="2">
        <f>IF(D9&gt;C9,1,0)</f>
        <v>0</v>
      </c>
      <c r="G9" s="37"/>
      <c r="H9" s="34"/>
      <c r="I9" s="6" t="s">
        <v>49</v>
      </c>
      <c r="J9" s="13">
        <v>0.83333333333333404</v>
      </c>
      <c r="K9" s="8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 s="2"/>
      <c r="B10" s="26"/>
      <c r="C10" s="7">
        <v>11</v>
      </c>
      <c r="D10" s="7">
        <v>3</v>
      </c>
      <c r="E10" s="2">
        <f t="shared" ref="E10:E11" si="9">IF(C10&gt;D10,1,0)</f>
        <v>1</v>
      </c>
      <c r="F10" s="2">
        <f t="shared" ref="F10:F11" si="10">IF(D10&gt;C10,1,0)</f>
        <v>0</v>
      </c>
      <c r="G10" s="37"/>
      <c r="H10" s="34"/>
      <c r="I10" s="2"/>
      <c r="J10" s="9"/>
      <c r="K10" s="8"/>
      <c r="L10" s="2"/>
      <c r="M10" s="2"/>
      <c r="N10" s="2"/>
      <c r="O10" s="2"/>
      <c r="P10" s="2"/>
      <c r="Q10" s="2"/>
      <c r="R10" s="2"/>
      <c r="S10" s="2"/>
      <c r="T10" s="2"/>
    </row>
    <row r="11" spans="1:20" ht="17" thickBot="1" x14ac:dyDescent="0.25">
      <c r="A11" s="9"/>
      <c r="B11" s="26"/>
      <c r="C11" s="7"/>
      <c r="D11" s="7"/>
      <c r="E11" s="2">
        <f t="shared" si="9"/>
        <v>0</v>
      </c>
      <c r="F11" s="2">
        <f t="shared" si="10"/>
        <v>0</v>
      </c>
      <c r="G11" s="37"/>
      <c r="H11" s="34"/>
      <c r="I11" s="2"/>
      <c r="J11" s="9"/>
      <c r="K11" s="8"/>
      <c r="L11" s="2"/>
      <c r="M11" s="2"/>
      <c r="N11" s="2"/>
      <c r="O11" s="2"/>
      <c r="P11" s="2"/>
      <c r="Q11" s="2"/>
      <c r="R11" s="2"/>
      <c r="S11" s="2"/>
      <c r="T11" s="2"/>
    </row>
    <row r="12" spans="1:20" ht="17" thickBot="1" x14ac:dyDescent="0.25">
      <c r="A12" s="24">
        <f>J5</f>
        <v>0.76388888888888895</v>
      </c>
      <c r="B12" s="5" t="s">
        <v>22</v>
      </c>
      <c r="C12" s="6">
        <f>SUM(C9:C11)</f>
        <v>22</v>
      </c>
      <c r="D12" s="6">
        <f>SUM(D9:D11)</f>
        <v>8</v>
      </c>
      <c r="E12" s="6">
        <f>SUM(E9:E11)</f>
        <v>2</v>
      </c>
      <c r="F12" s="6">
        <f>SUM(F9:F11)</f>
        <v>0</v>
      </c>
      <c r="G12" s="38"/>
      <c r="H12" s="35"/>
      <c r="I12" s="8"/>
      <c r="J12" s="8"/>
      <c r="K12" s="8"/>
      <c r="L12" s="8"/>
      <c r="M12" s="8"/>
      <c r="N12" s="8"/>
      <c r="O12" s="8"/>
      <c r="P12" s="2"/>
      <c r="Q12" s="2"/>
      <c r="R12" s="2"/>
      <c r="S12" s="2"/>
      <c r="T12" s="2"/>
    </row>
    <row r="13" spans="1:20" ht="17" thickBot="1" x14ac:dyDescent="0.25">
      <c r="A13" s="29"/>
      <c r="B13" s="14" t="s">
        <v>96</v>
      </c>
      <c r="C13" s="10" t="s">
        <v>26</v>
      </c>
      <c r="D13" s="10" t="s">
        <v>35</v>
      </c>
      <c r="E13" s="10" t="str">
        <f>C13</f>
        <v>B1</v>
      </c>
      <c r="F13" s="10" t="str">
        <f>D13</f>
        <v>B3</v>
      </c>
      <c r="G13" s="36" t="str">
        <f t="shared" ref="G13" si="11">IF(E17&gt;F17,E13,F13)</f>
        <v>B3</v>
      </c>
      <c r="H13" s="33" t="str">
        <f t="shared" ref="H13" si="12">IF(E17&gt;F17,F13,E13)</f>
        <v>B1</v>
      </c>
      <c r="I13" s="8"/>
      <c r="J13" s="8"/>
      <c r="K13" s="8"/>
      <c r="L13" s="8" t="s">
        <v>97</v>
      </c>
      <c r="M13" s="8"/>
      <c r="N13" s="8"/>
      <c r="O13" s="8"/>
      <c r="P13" s="2"/>
      <c r="Q13" s="2"/>
      <c r="R13" s="2"/>
      <c r="S13" s="2"/>
      <c r="T13" s="2"/>
    </row>
    <row r="14" spans="1:20" x14ac:dyDescent="0.2">
      <c r="A14" s="9"/>
      <c r="B14" s="27" t="str">
        <f>IF(E17&gt;F17,E13,F13)</f>
        <v>B3</v>
      </c>
      <c r="C14" s="7">
        <v>7</v>
      </c>
      <c r="D14" s="7">
        <v>11</v>
      </c>
      <c r="E14" s="2">
        <f>IF(C14&gt;D14,1,0)</f>
        <v>0</v>
      </c>
      <c r="F14" s="2">
        <f>IF(D14&gt;C14,1,0)</f>
        <v>1</v>
      </c>
      <c r="G14" s="37"/>
      <c r="H14" s="34"/>
      <c r="I14" s="8"/>
      <c r="J14" s="8"/>
      <c r="K14" s="8"/>
      <c r="L14" s="8" t="s">
        <v>98</v>
      </c>
      <c r="M14" s="8"/>
      <c r="N14" s="8"/>
      <c r="O14" s="8"/>
      <c r="P14" s="2"/>
      <c r="Q14" s="2"/>
      <c r="R14" s="2"/>
      <c r="S14" s="2"/>
      <c r="T14" s="2"/>
    </row>
    <row r="15" spans="1:20" x14ac:dyDescent="0.2">
      <c r="A15" s="2"/>
      <c r="B15" s="26"/>
      <c r="C15" s="7">
        <v>9</v>
      </c>
      <c r="D15" s="7">
        <v>11</v>
      </c>
      <c r="E15" s="2">
        <f>IF(C15&gt;D15,1,0)</f>
        <v>0</v>
      </c>
      <c r="F15" s="2">
        <f t="shared" ref="F15:F16" si="13">IF(D15&gt;C15,1,0)</f>
        <v>1</v>
      </c>
      <c r="G15" s="37"/>
      <c r="H15" s="34"/>
      <c r="I15" s="8"/>
      <c r="J15" s="8"/>
      <c r="K15" s="8"/>
      <c r="L15" s="8" t="s">
        <v>99</v>
      </c>
      <c r="M15" s="8"/>
      <c r="N15" s="8"/>
      <c r="O15" s="8"/>
      <c r="P15" s="2"/>
      <c r="Q15" s="2"/>
      <c r="R15" s="2"/>
      <c r="S15" s="2"/>
      <c r="T15" s="2"/>
    </row>
    <row r="16" spans="1:20" ht="17" thickBot="1" x14ac:dyDescent="0.25">
      <c r="A16" s="2"/>
      <c r="B16" s="26"/>
      <c r="C16" s="7"/>
      <c r="D16" s="7"/>
      <c r="E16" s="2">
        <f>IF(C16&gt;D16,1,0)</f>
        <v>0</v>
      </c>
      <c r="F16" s="2">
        <f t="shared" si="13"/>
        <v>0</v>
      </c>
      <c r="G16" s="37"/>
      <c r="H16" s="34"/>
      <c r="I16" s="8"/>
      <c r="J16" s="8"/>
      <c r="K16" s="8"/>
      <c r="L16" s="8" t="s">
        <v>100</v>
      </c>
      <c r="M16" s="8"/>
      <c r="N16" s="8"/>
      <c r="O16" s="8"/>
      <c r="P16" s="2"/>
      <c r="Q16" s="2"/>
      <c r="R16" s="2"/>
      <c r="S16" s="2"/>
      <c r="T16" s="2"/>
    </row>
    <row r="17" spans="1:20" ht="17" thickBot="1" x14ac:dyDescent="0.25">
      <c r="A17" s="24">
        <f>J6</f>
        <v>0.78125</v>
      </c>
      <c r="B17" s="5" t="s">
        <v>22</v>
      </c>
      <c r="C17" s="6">
        <f>SUM(C14:C16)</f>
        <v>16</v>
      </c>
      <c r="D17" s="6">
        <f>SUM(D14:D16)</f>
        <v>22</v>
      </c>
      <c r="E17" s="6">
        <f>SUM(E14:E16)</f>
        <v>0</v>
      </c>
      <c r="F17" s="6">
        <f>SUM(F14:F16)</f>
        <v>2</v>
      </c>
      <c r="G17" s="38"/>
      <c r="H17" s="35"/>
      <c r="I17" s="2"/>
      <c r="J17" s="2"/>
      <c r="K17" s="2"/>
      <c r="L17" s="2" t="s">
        <v>101</v>
      </c>
      <c r="M17" s="2"/>
      <c r="N17" s="2"/>
      <c r="O17" s="2"/>
      <c r="P17" s="2"/>
      <c r="Q17" s="2"/>
      <c r="R17" s="2"/>
      <c r="S17" s="2"/>
      <c r="T17" s="2"/>
    </row>
    <row r="18" spans="1:20" ht="17" thickBot="1" x14ac:dyDescent="0.25">
      <c r="A18" s="29"/>
      <c r="B18" s="14" t="s">
        <v>102</v>
      </c>
      <c r="C18" s="10" t="s">
        <v>27</v>
      </c>
      <c r="D18" s="10" t="s">
        <v>36</v>
      </c>
      <c r="E18" s="10" t="str">
        <f>C18</f>
        <v>B2</v>
      </c>
      <c r="F18" s="10" t="str">
        <f>D18</f>
        <v>B4</v>
      </c>
      <c r="G18" s="36" t="str">
        <f t="shared" ref="G18" si="14">IF(E22&gt;F22,E18,F18)</f>
        <v>B4</v>
      </c>
      <c r="H18" s="33" t="str">
        <f t="shared" ref="H18" si="15">IF(E22&gt;F22,F18,E18)</f>
        <v>B2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">
      <c r="A19" s="2"/>
      <c r="B19" s="28" t="str">
        <f>IF(E22&gt;F22,E18,F18)</f>
        <v>B4</v>
      </c>
      <c r="C19" s="7">
        <v>11</v>
      </c>
      <c r="D19" s="7">
        <v>13</v>
      </c>
      <c r="E19" s="2">
        <f>IF(C19&gt;D19,1,0)</f>
        <v>0</v>
      </c>
      <c r="F19" s="2">
        <f>IF(D19&gt;C19,1,0)</f>
        <v>1</v>
      </c>
      <c r="G19" s="37"/>
      <c r="H19" s="3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 s="2"/>
      <c r="B20" s="28"/>
      <c r="C20" s="7">
        <v>11</v>
      </c>
      <c r="D20" s="7">
        <v>9</v>
      </c>
      <c r="E20" s="2">
        <f>IF(C20&gt;D20,1,0)</f>
        <v>1</v>
      </c>
      <c r="F20" s="2">
        <f>IF(D20&gt;C20,1,0)</f>
        <v>0</v>
      </c>
      <c r="G20" s="37"/>
      <c r="H20" s="3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7" thickBot="1" x14ac:dyDescent="0.25">
      <c r="A21" s="2"/>
      <c r="B21" s="28"/>
      <c r="C21" s="7"/>
      <c r="D21" s="7"/>
      <c r="E21" s="2">
        <f>IF(C21&gt;D21,1,0)</f>
        <v>0</v>
      </c>
      <c r="F21" s="2">
        <f>IF(D21&gt;C21,1,0)</f>
        <v>0</v>
      </c>
      <c r="G21" s="37"/>
      <c r="H21" s="3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7" thickBot="1" x14ac:dyDescent="0.25">
      <c r="A22" s="24">
        <f>J7</f>
        <v>0.79861111111111105</v>
      </c>
      <c r="B22" s="5" t="s">
        <v>22</v>
      </c>
      <c r="C22" s="6">
        <f>SUM(C19:C21)</f>
        <v>22</v>
      </c>
      <c r="D22" s="6">
        <f t="shared" ref="D22:F22" si="16">SUM(D19:D21)</f>
        <v>22</v>
      </c>
      <c r="E22" s="6">
        <f t="shared" si="16"/>
        <v>1</v>
      </c>
      <c r="F22" s="6">
        <f t="shared" si="16"/>
        <v>1</v>
      </c>
      <c r="G22" s="38"/>
      <c r="H22" s="3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7" thickBot="1" x14ac:dyDescent="0.25">
      <c r="A23" s="25"/>
      <c r="B23" s="14" t="s">
        <v>103</v>
      </c>
      <c r="C23" s="10" t="s">
        <v>26</v>
      </c>
      <c r="D23" s="10" t="s">
        <v>36</v>
      </c>
      <c r="E23" s="10" t="str">
        <f>C23</f>
        <v>B1</v>
      </c>
      <c r="F23" s="10" t="str">
        <f>D23</f>
        <v>B4</v>
      </c>
      <c r="G23" s="36" t="str">
        <f t="shared" ref="G23" si="17">IF(E27&gt;F27,E23,F23)</f>
        <v>B1</v>
      </c>
      <c r="H23" s="33" t="str">
        <f t="shared" ref="H23" si="18">IF(E27&gt;F27,F23,E23)</f>
        <v>B4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">
      <c r="A24" s="2"/>
      <c r="B24" s="28" t="str">
        <f>IF(E27&gt;F27,E23,F23)</f>
        <v>B1</v>
      </c>
      <c r="C24" s="7">
        <v>10</v>
      </c>
      <c r="D24" s="7">
        <v>12</v>
      </c>
      <c r="E24" s="2">
        <f>IF(C24&gt;D24,1,0)</f>
        <v>0</v>
      </c>
      <c r="F24" s="2">
        <f>IF(D24&gt;C24,1,0)</f>
        <v>1</v>
      </c>
      <c r="G24" s="37"/>
      <c r="H24" s="3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">
      <c r="A25" s="2"/>
      <c r="B25" s="28"/>
      <c r="C25" s="7">
        <v>11</v>
      </c>
      <c r="D25" s="7">
        <v>5</v>
      </c>
      <c r="E25" s="2">
        <f t="shared" ref="E25:E26" si="19">IF(C25&gt;D25,1,0)</f>
        <v>1</v>
      </c>
      <c r="F25" s="2">
        <f t="shared" ref="F25:F26" si="20">IF(D25&gt;C25,1,0)</f>
        <v>0</v>
      </c>
      <c r="G25" s="37"/>
      <c r="H25" s="3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7" thickBot="1" x14ac:dyDescent="0.25">
      <c r="A26" s="2"/>
      <c r="B26" s="28"/>
      <c r="C26" s="7">
        <v>11</v>
      </c>
      <c r="D26" s="7">
        <v>6</v>
      </c>
      <c r="E26" s="2">
        <f t="shared" si="19"/>
        <v>1</v>
      </c>
      <c r="F26" s="2">
        <f t="shared" si="20"/>
        <v>0</v>
      </c>
      <c r="G26" s="37"/>
      <c r="H26" s="3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7" thickBot="1" x14ac:dyDescent="0.25">
      <c r="A27" s="24">
        <f>J8</f>
        <v>0.81597222222222199</v>
      </c>
      <c r="B27" s="5" t="s">
        <v>22</v>
      </c>
      <c r="C27" s="6">
        <f>SUM(C24:C26)</f>
        <v>32</v>
      </c>
      <c r="D27" s="6">
        <f t="shared" ref="D27:F27" si="21">SUM(D24:D26)</f>
        <v>23</v>
      </c>
      <c r="E27" s="6">
        <f t="shared" si="21"/>
        <v>2</v>
      </c>
      <c r="F27" s="6">
        <f t="shared" si="21"/>
        <v>1</v>
      </c>
      <c r="G27" s="38"/>
      <c r="H27" s="3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7" thickBot="1" x14ac:dyDescent="0.25">
      <c r="A28" s="25"/>
      <c r="B28" s="14" t="s">
        <v>104</v>
      </c>
      <c r="C28" s="10" t="s">
        <v>27</v>
      </c>
      <c r="D28" s="10" t="s">
        <v>35</v>
      </c>
      <c r="E28" s="10" t="str">
        <f>C28</f>
        <v>B2</v>
      </c>
      <c r="F28" s="10" t="str">
        <f>D28</f>
        <v>B3</v>
      </c>
      <c r="G28" s="36" t="str">
        <f t="shared" ref="G28" si="22">IF(E32&gt;F32,E28,F28)</f>
        <v>B2</v>
      </c>
      <c r="H28" s="33" t="str">
        <f>IF(E32&gt;F32,F28,E28)</f>
        <v>B3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">
      <c r="A29" s="2"/>
      <c r="B29" s="28" t="str">
        <f>IF(E32&gt;F32,E28,F28)</f>
        <v>B2</v>
      </c>
      <c r="C29" s="7">
        <v>11</v>
      </c>
      <c r="D29" s="7">
        <v>9</v>
      </c>
      <c r="E29" s="2">
        <f>IF(C29&gt;D29,1,0)</f>
        <v>1</v>
      </c>
      <c r="F29" s="2">
        <f>IF(D29&gt;C29,1,0)</f>
        <v>0</v>
      </c>
      <c r="G29" s="37"/>
      <c r="H29" s="3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7" thickBot="1" x14ac:dyDescent="0.25">
      <c r="A30" s="2"/>
      <c r="B30" s="28"/>
      <c r="C30" s="7">
        <v>11</v>
      </c>
      <c r="D30" s="7">
        <v>8</v>
      </c>
      <c r="E30" s="2">
        <f t="shared" ref="E30:E31" si="23">IF(C30&gt;D30,1,0)</f>
        <v>1</v>
      </c>
      <c r="F30" s="2">
        <f t="shared" ref="F30:F31" si="24">IF(D30&gt;C30,1,0)</f>
        <v>0</v>
      </c>
      <c r="G30" s="37"/>
      <c r="H30" s="3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">
      <c r="A31" s="24">
        <f>J9</f>
        <v>0.83333333333333404</v>
      </c>
      <c r="B31" s="28"/>
      <c r="C31" s="7"/>
      <c r="D31" s="7"/>
      <c r="E31" s="2">
        <f t="shared" si="23"/>
        <v>0</v>
      </c>
      <c r="F31" s="2">
        <f t="shared" si="24"/>
        <v>0</v>
      </c>
      <c r="G31" s="37"/>
      <c r="H31" s="3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7" thickBot="1" x14ac:dyDescent="0.25">
      <c r="A32" s="25"/>
      <c r="B32" s="5" t="s">
        <v>22</v>
      </c>
      <c r="C32" s="6">
        <f>SUM(C29:C31)</f>
        <v>22</v>
      </c>
      <c r="D32" s="6">
        <f t="shared" ref="D32:F32" si="25">SUM(D29:D31)</f>
        <v>17</v>
      </c>
      <c r="E32" s="6">
        <f t="shared" si="25"/>
        <v>2</v>
      </c>
      <c r="F32" s="6">
        <f t="shared" si="25"/>
        <v>0</v>
      </c>
      <c r="G32" s="38"/>
      <c r="H32" s="3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</sheetData>
  <mergeCells count="28">
    <mergeCell ref="G18:G22"/>
    <mergeCell ref="H18:H22"/>
    <mergeCell ref="B19:B21"/>
    <mergeCell ref="A22:A23"/>
    <mergeCell ref="G23:G27"/>
    <mergeCell ref="H23:H27"/>
    <mergeCell ref="B24:B26"/>
    <mergeCell ref="A27:A28"/>
    <mergeCell ref="G28:G32"/>
    <mergeCell ref="H28:H32"/>
    <mergeCell ref="B29:B31"/>
    <mergeCell ref="A31:A32"/>
    <mergeCell ref="I1:J2"/>
    <mergeCell ref="C2:D2"/>
    <mergeCell ref="E2:F2"/>
    <mergeCell ref="A3:A4"/>
    <mergeCell ref="G3:G7"/>
    <mergeCell ref="H3:H7"/>
    <mergeCell ref="B4:B6"/>
    <mergeCell ref="A7:A8"/>
    <mergeCell ref="G8:G12"/>
    <mergeCell ref="H8:H12"/>
    <mergeCell ref="B9:B11"/>
    <mergeCell ref="A12:A13"/>
    <mergeCell ref="G13:G17"/>
    <mergeCell ref="H13:H17"/>
    <mergeCell ref="B14:B16"/>
    <mergeCell ref="A17:A1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B216A-46EF-9446-9649-3DA728D47A3B}">
  <dimension ref="A1:T32"/>
  <sheetViews>
    <sheetView topLeftCell="E3" workbookViewId="0">
      <selection activeCell="D35" sqref="D35"/>
    </sheetView>
  </sheetViews>
  <sheetFormatPr baseColWidth="10" defaultRowHeight="16" x14ac:dyDescent="0.2"/>
  <sheetData>
    <row r="1" spans="1:20" x14ac:dyDescent="0.2">
      <c r="A1" s="16"/>
      <c r="B1" s="21" t="s">
        <v>105</v>
      </c>
      <c r="C1" s="22"/>
      <c r="D1" s="22"/>
      <c r="E1" s="22"/>
      <c r="F1" s="22"/>
      <c r="G1" s="22"/>
      <c r="H1" s="23"/>
      <c r="I1" s="39" t="s">
        <v>55</v>
      </c>
      <c r="J1" s="40"/>
      <c r="K1" s="8" t="s">
        <v>56</v>
      </c>
      <c r="L1" s="2" t="s">
        <v>106</v>
      </c>
      <c r="M1" s="8" t="s">
        <v>107</v>
      </c>
      <c r="N1" s="8" t="s">
        <v>108</v>
      </c>
      <c r="O1" s="8" t="s">
        <v>109</v>
      </c>
      <c r="P1" s="8" t="s">
        <v>110</v>
      </c>
      <c r="Q1" s="8" t="s">
        <v>111</v>
      </c>
      <c r="R1" s="8" t="s">
        <v>73</v>
      </c>
      <c r="S1" s="8" t="s">
        <v>74</v>
      </c>
      <c r="T1" s="2" t="s">
        <v>78</v>
      </c>
    </row>
    <row r="2" spans="1:20" ht="17" thickBot="1" x14ac:dyDescent="0.25">
      <c r="A2" s="17"/>
      <c r="B2" s="3"/>
      <c r="C2" s="30" t="s">
        <v>112</v>
      </c>
      <c r="D2" s="31"/>
      <c r="E2" s="30" t="s">
        <v>113</v>
      </c>
      <c r="F2" s="32"/>
      <c r="G2" s="18" t="s">
        <v>114</v>
      </c>
      <c r="H2" s="4" t="s">
        <v>115</v>
      </c>
      <c r="I2" s="41"/>
      <c r="J2" s="42"/>
      <c r="K2" s="8" t="str">
        <f>C3</f>
        <v>C1</v>
      </c>
      <c r="L2" s="2">
        <f>M2*10000+Q2*100+T2</f>
        <v>20001</v>
      </c>
      <c r="M2" s="8">
        <f>COUNTIF($G$3:$G$32,$K2)</f>
        <v>2</v>
      </c>
      <c r="N2" s="8">
        <f>COUNTIF($H$3:$H$32,$K2)</f>
        <v>1</v>
      </c>
      <c r="O2" s="8">
        <f>E7+E17+E27</f>
        <v>4</v>
      </c>
      <c r="P2" s="8">
        <f>F7+F17+F27</f>
        <v>4</v>
      </c>
      <c r="Q2" s="8">
        <f>O2-P2</f>
        <v>0</v>
      </c>
      <c r="R2" s="8">
        <f>+C7+C17+C27</f>
        <v>78</v>
      </c>
      <c r="S2" s="8">
        <f>D7+D17+D27</f>
        <v>77</v>
      </c>
      <c r="T2" s="2">
        <f>R2-S2</f>
        <v>1</v>
      </c>
    </row>
    <row r="3" spans="1:20" x14ac:dyDescent="0.2">
      <c r="A3" s="24">
        <f>J3</f>
        <v>0.72916666666666663</v>
      </c>
      <c r="B3" s="14" t="s">
        <v>116</v>
      </c>
      <c r="C3" s="10" t="s">
        <v>28</v>
      </c>
      <c r="D3" s="15" t="s">
        <v>25</v>
      </c>
      <c r="E3" s="10" t="str">
        <f>C3</f>
        <v>C1</v>
      </c>
      <c r="F3" s="15" t="str">
        <f>D3</f>
        <v>C2</v>
      </c>
      <c r="G3" s="36" t="str">
        <f>IF(E7&gt;F7,E3,F3)</f>
        <v>C1</v>
      </c>
      <c r="H3" s="33" t="str">
        <f>IF(E7&gt;F7,F3,E3)</f>
        <v>C2</v>
      </c>
      <c r="I3" s="2" t="s">
        <v>43</v>
      </c>
      <c r="J3" s="12">
        <v>0.72916666666666663</v>
      </c>
      <c r="K3" s="20" t="str">
        <f>D3</f>
        <v>C2</v>
      </c>
      <c r="L3" s="2">
        <f t="shared" ref="L3:L5" si="0">M3*10000+Q3*100+T3</f>
        <v>-199</v>
      </c>
      <c r="M3" s="8">
        <f t="shared" ref="M3:M5" si="1">COUNTIF($G$3:$G$32,$K3)</f>
        <v>0</v>
      </c>
      <c r="N3" s="8">
        <f t="shared" ref="N3:N5" si="2">COUNTIF($H$3:$H$32,$K3)</f>
        <v>3</v>
      </c>
      <c r="O3" s="8">
        <f>F7+E22+E32</f>
        <v>3</v>
      </c>
      <c r="P3" s="8">
        <f>E7+F22+F32</f>
        <v>5</v>
      </c>
      <c r="Q3" s="8">
        <f t="shared" ref="Q3:Q5" si="3">O3-P3</f>
        <v>-2</v>
      </c>
      <c r="R3" s="8">
        <f>D7+C22+C32</f>
        <v>82</v>
      </c>
      <c r="S3" s="8">
        <f>C7+D22+D32</f>
        <v>81</v>
      </c>
      <c r="T3" s="2">
        <f t="shared" ref="T3:T5" si="4">R3-S3</f>
        <v>1</v>
      </c>
    </row>
    <row r="4" spans="1:20" ht="17" thickBot="1" x14ac:dyDescent="0.25">
      <c r="A4" s="29"/>
      <c r="B4" s="26" t="str">
        <f>IF(E7&gt;F7,E3,F3)</f>
        <v>C1</v>
      </c>
      <c r="C4" s="7">
        <v>11</v>
      </c>
      <c r="D4" s="7">
        <v>9</v>
      </c>
      <c r="E4" s="2">
        <f>IF(C4&gt;D4,1,0)</f>
        <v>1</v>
      </c>
      <c r="F4" s="2">
        <f>IF(D4&gt;C4,1,0)</f>
        <v>0</v>
      </c>
      <c r="G4" s="37"/>
      <c r="H4" s="34"/>
      <c r="I4" s="2" t="s">
        <v>44</v>
      </c>
      <c r="J4" s="12">
        <v>0.74652777777777779</v>
      </c>
      <c r="K4" s="8" t="str">
        <f>C8</f>
        <v>C3</v>
      </c>
      <c r="L4" s="2">
        <f t="shared" si="0"/>
        <v>30519</v>
      </c>
      <c r="M4" s="8">
        <f t="shared" si="1"/>
        <v>3</v>
      </c>
      <c r="N4" s="8">
        <f t="shared" si="2"/>
        <v>0</v>
      </c>
      <c r="O4" s="8">
        <f>E12+F17+F32</f>
        <v>6</v>
      </c>
      <c r="P4" s="8">
        <f>F12+E17+E32</f>
        <v>1</v>
      </c>
      <c r="Q4" s="8">
        <f t="shared" si="3"/>
        <v>5</v>
      </c>
      <c r="R4" s="8">
        <f>C12+D17+D32</f>
        <v>77</v>
      </c>
      <c r="S4" s="8">
        <f>D12+C17+C32</f>
        <v>58</v>
      </c>
      <c r="T4" s="2">
        <f t="shared" si="4"/>
        <v>19</v>
      </c>
    </row>
    <row r="5" spans="1:20" x14ac:dyDescent="0.2">
      <c r="A5" s="2"/>
      <c r="B5" s="26"/>
      <c r="C5" s="7">
        <v>9</v>
      </c>
      <c r="D5" s="7">
        <v>11</v>
      </c>
      <c r="E5" s="2">
        <f t="shared" ref="E5:E6" si="5">IF(C5&gt;D5,1,0)</f>
        <v>0</v>
      </c>
      <c r="F5" s="2">
        <f t="shared" ref="F5:F6" si="6">IF(D5&gt;C5,1,0)</f>
        <v>1</v>
      </c>
      <c r="G5" s="37"/>
      <c r="H5" s="34"/>
      <c r="I5" s="2" t="s">
        <v>45</v>
      </c>
      <c r="J5" s="12">
        <v>0.76388888888888895</v>
      </c>
      <c r="K5" s="8" t="str">
        <f>D8</f>
        <v>C4</v>
      </c>
      <c r="L5" s="2">
        <f t="shared" si="0"/>
        <v>9679</v>
      </c>
      <c r="M5" s="8">
        <f t="shared" si="1"/>
        <v>1</v>
      </c>
      <c r="N5" s="8">
        <f t="shared" si="2"/>
        <v>2</v>
      </c>
      <c r="O5" s="8">
        <f>F12+F22+F27</f>
        <v>2</v>
      </c>
      <c r="P5" s="8">
        <f>E12+E22+E27</f>
        <v>5</v>
      </c>
      <c r="Q5" s="8">
        <f t="shared" si="3"/>
        <v>-3</v>
      </c>
      <c r="R5" s="8">
        <f>D12+D22+D27</f>
        <v>55</v>
      </c>
      <c r="S5" s="8">
        <f>C12+C22+C27</f>
        <v>76</v>
      </c>
      <c r="T5" s="2">
        <f t="shared" si="4"/>
        <v>-21</v>
      </c>
    </row>
    <row r="6" spans="1:20" ht="17" thickBot="1" x14ac:dyDescent="0.25">
      <c r="A6" s="9"/>
      <c r="B6" s="26"/>
      <c r="C6" s="7">
        <v>11</v>
      </c>
      <c r="D6" s="7">
        <v>9</v>
      </c>
      <c r="E6" s="2">
        <f t="shared" si="5"/>
        <v>1</v>
      </c>
      <c r="F6" s="2">
        <f t="shared" si="6"/>
        <v>0</v>
      </c>
      <c r="G6" s="37"/>
      <c r="H6" s="34"/>
      <c r="I6" s="2" t="s">
        <v>46</v>
      </c>
      <c r="J6" s="12">
        <v>0.78125</v>
      </c>
      <c r="K6" s="2"/>
      <c r="L6" s="8"/>
      <c r="M6" s="8"/>
      <c r="N6" s="8"/>
      <c r="O6" s="8"/>
      <c r="P6" s="8"/>
      <c r="Q6" s="8"/>
      <c r="R6" s="8"/>
      <c r="S6" s="8"/>
      <c r="T6" s="2"/>
    </row>
    <row r="7" spans="1:20" ht="17" thickBot="1" x14ac:dyDescent="0.25">
      <c r="A7" s="24">
        <f>J4</f>
        <v>0.74652777777777779</v>
      </c>
      <c r="B7" s="5" t="s">
        <v>22</v>
      </c>
      <c r="C7" s="6">
        <f>SUM(C4:C6)</f>
        <v>31</v>
      </c>
      <c r="D7" s="6">
        <f>SUM(D4:D6)</f>
        <v>29</v>
      </c>
      <c r="E7" s="6">
        <f>SUM((E4:E6))</f>
        <v>2</v>
      </c>
      <c r="F7" s="6">
        <f>SUM((F4:F6))</f>
        <v>1</v>
      </c>
      <c r="G7" s="38"/>
      <c r="H7" s="35"/>
      <c r="I7" s="2" t="s">
        <v>47</v>
      </c>
      <c r="J7" s="12">
        <v>0.79861111111111105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7" thickBot="1" x14ac:dyDescent="0.25">
      <c r="A8" s="29"/>
      <c r="B8" s="14" t="s">
        <v>117</v>
      </c>
      <c r="C8" s="10" t="s">
        <v>29</v>
      </c>
      <c r="D8" s="10" t="s">
        <v>37</v>
      </c>
      <c r="E8" s="10" t="str">
        <f>C8</f>
        <v>C3</v>
      </c>
      <c r="F8" s="10" t="str">
        <f>D8</f>
        <v>C4</v>
      </c>
      <c r="G8" s="36" t="str">
        <f t="shared" ref="G8" si="7">IF(E12&gt;F12,E8,F8)</f>
        <v>C3</v>
      </c>
      <c r="H8" s="33" t="str">
        <f t="shared" ref="H8" si="8">IF(E12&gt;F12,F8,E8)</f>
        <v>C4</v>
      </c>
      <c r="I8" s="2" t="s">
        <v>48</v>
      </c>
      <c r="J8" s="12">
        <v>0.81597222222222199</v>
      </c>
      <c r="K8" s="8"/>
      <c r="L8" s="2"/>
      <c r="M8" s="2"/>
      <c r="N8" s="2"/>
      <c r="O8" s="2"/>
      <c r="P8" s="2"/>
      <c r="Q8" s="2"/>
      <c r="R8" s="2"/>
      <c r="S8" s="2"/>
      <c r="T8" s="2"/>
    </row>
    <row r="9" spans="1:20" ht="17" thickBot="1" x14ac:dyDescent="0.25">
      <c r="A9" s="9"/>
      <c r="B9" s="26" t="str">
        <f>IF(E12&gt;F12,E8,F8)</f>
        <v>C3</v>
      </c>
      <c r="C9" s="7">
        <v>11</v>
      </c>
      <c r="D9" s="7">
        <v>5</v>
      </c>
      <c r="E9" s="2">
        <f>IF(C9&gt;D9,1,0)</f>
        <v>1</v>
      </c>
      <c r="F9" s="2">
        <f>IF(D9&gt;C9,1,0)</f>
        <v>0</v>
      </c>
      <c r="G9" s="37"/>
      <c r="H9" s="34"/>
      <c r="I9" s="6" t="s">
        <v>49</v>
      </c>
      <c r="J9" s="13">
        <v>0.83333333333333404</v>
      </c>
      <c r="K9" s="8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 s="2"/>
      <c r="B10" s="26"/>
      <c r="C10" s="7">
        <v>11</v>
      </c>
      <c r="D10" s="7">
        <v>7</v>
      </c>
      <c r="E10" s="2">
        <f t="shared" ref="E10:E11" si="9">IF(C10&gt;D10,1,0)</f>
        <v>1</v>
      </c>
      <c r="F10" s="2">
        <f t="shared" ref="F10:F11" si="10">IF(D10&gt;C10,1,0)</f>
        <v>0</v>
      </c>
      <c r="G10" s="37"/>
      <c r="H10" s="34"/>
      <c r="I10" s="2"/>
      <c r="J10" s="9"/>
      <c r="K10" s="8"/>
      <c r="L10" s="2"/>
      <c r="M10" s="2"/>
      <c r="N10" s="2"/>
      <c r="O10" s="2"/>
      <c r="P10" s="2"/>
      <c r="Q10" s="2"/>
      <c r="R10" s="2"/>
      <c r="S10" s="2"/>
      <c r="T10" s="2"/>
    </row>
    <row r="11" spans="1:20" ht="17" thickBot="1" x14ac:dyDescent="0.25">
      <c r="A11" s="9"/>
      <c r="B11" s="26"/>
      <c r="C11" s="7"/>
      <c r="D11" s="7"/>
      <c r="E11" s="2">
        <f t="shared" si="9"/>
        <v>0</v>
      </c>
      <c r="F11" s="2">
        <f t="shared" si="10"/>
        <v>0</v>
      </c>
      <c r="G11" s="37"/>
      <c r="H11" s="34"/>
      <c r="I11" s="2"/>
      <c r="J11" s="9"/>
      <c r="K11" s="8"/>
      <c r="L11" s="2"/>
      <c r="M11" s="2"/>
      <c r="N11" s="2"/>
      <c r="O11" s="2"/>
      <c r="P11" s="2"/>
      <c r="Q11" s="2"/>
      <c r="R11" s="2"/>
      <c r="S11" s="2"/>
      <c r="T11" s="2"/>
    </row>
    <row r="12" spans="1:20" ht="17" thickBot="1" x14ac:dyDescent="0.25">
      <c r="A12" s="24">
        <f>J5</f>
        <v>0.76388888888888895</v>
      </c>
      <c r="B12" s="5" t="s">
        <v>22</v>
      </c>
      <c r="C12" s="6">
        <f>SUM(C9:C11)</f>
        <v>22</v>
      </c>
      <c r="D12" s="6">
        <f>SUM(D9:D11)</f>
        <v>12</v>
      </c>
      <c r="E12" s="6">
        <f>SUM(E9:E11)</f>
        <v>2</v>
      </c>
      <c r="F12" s="6">
        <f>SUM(F9:F11)</f>
        <v>0</v>
      </c>
      <c r="G12" s="38"/>
      <c r="H12" s="35"/>
      <c r="I12" s="8"/>
      <c r="J12" s="8"/>
      <c r="K12" s="8"/>
      <c r="L12" s="8"/>
      <c r="M12" s="8"/>
      <c r="N12" s="8"/>
      <c r="O12" s="8"/>
      <c r="P12" s="2"/>
      <c r="Q12" s="2"/>
      <c r="R12" s="2"/>
      <c r="S12" s="2"/>
      <c r="T12" s="2"/>
    </row>
    <row r="13" spans="1:20" ht="17" thickBot="1" x14ac:dyDescent="0.25">
      <c r="A13" s="29"/>
      <c r="B13" s="14" t="s">
        <v>118</v>
      </c>
      <c r="C13" s="10" t="s">
        <v>28</v>
      </c>
      <c r="D13" s="10" t="s">
        <v>29</v>
      </c>
      <c r="E13" s="10" t="str">
        <f>C13</f>
        <v>C1</v>
      </c>
      <c r="F13" s="10" t="str">
        <f>D13</f>
        <v>C3</v>
      </c>
      <c r="G13" s="36" t="str">
        <f t="shared" ref="G13" si="11">IF(E17&gt;F17,E13,F13)</f>
        <v>C3</v>
      </c>
      <c r="H13" s="33" t="str">
        <f t="shared" ref="H13" si="12">IF(E17&gt;F17,F13,E13)</f>
        <v>C1</v>
      </c>
      <c r="I13" s="8"/>
      <c r="J13" s="8"/>
      <c r="K13" s="8"/>
      <c r="L13" s="8" t="s">
        <v>119</v>
      </c>
      <c r="M13" s="8"/>
      <c r="N13" s="8"/>
      <c r="O13" s="8"/>
      <c r="P13" s="2"/>
      <c r="Q13" s="2"/>
      <c r="R13" s="2"/>
      <c r="S13" s="2"/>
      <c r="T13" s="2"/>
    </row>
    <row r="14" spans="1:20" x14ac:dyDescent="0.2">
      <c r="A14" s="9"/>
      <c r="B14" s="27" t="str">
        <f>IF(E17&gt;F17,E13,F13)</f>
        <v>C3</v>
      </c>
      <c r="C14" s="7">
        <v>7</v>
      </c>
      <c r="D14" s="7">
        <v>11</v>
      </c>
      <c r="E14" s="2">
        <f>IF(C14&gt;D14,1,0)</f>
        <v>0</v>
      </c>
      <c r="F14" s="2">
        <f>IF(D14&gt;C14,1,0)</f>
        <v>1</v>
      </c>
      <c r="G14" s="37"/>
      <c r="H14" s="34"/>
      <c r="I14" s="8"/>
      <c r="J14" s="8"/>
      <c r="K14" s="8"/>
      <c r="L14" s="8" t="s">
        <v>120</v>
      </c>
      <c r="M14" s="8"/>
      <c r="N14" s="8"/>
      <c r="O14" s="8"/>
      <c r="P14" s="2"/>
      <c r="Q14" s="2"/>
      <c r="R14" s="2"/>
      <c r="S14" s="2"/>
      <c r="T14" s="2"/>
    </row>
    <row r="15" spans="1:20" x14ac:dyDescent="0.2">
      <c r="A15" s="2"/>
      <c r="B15" s="26"/>
      <c r="C15" s="7">
        <v>8</v>
      </c>
      <c r="D15" s="7">
        <v>11</v>
      </c>
      <c r="E15" s="2">
        <f>IF(C15&gt;D15,1,0)</f>
        <v>0</v>
      </c>
      <c r="F15" s="2">
        <f t="shared" ref="F15:F16" si="13">IF(D15&gt;C15,1,0)</f>
        <v>1</v>
      </c>
      <c r="G15" s="37"/>
      <c r="H15" s="34"/>
      <c r="I15" s="8"/>
      <c r="J15" s="8"/>
      <c r="K15" s="8"/>
      <c r="L15" s="8" t="s">
        <v>121</v>
      </c>
      <c r="M15" s="8"/>
      <c r="N15" s="8"/>
      <c r="O15" s="8"/>
      <c r="P15" s="2"/>
      <c r="Q15" s="2"/>
      <c r="R15" s="2"/>
      <c r="S15" s="2"/>
      <c r="T15" s="2"/>
    </row>
    <row r="16" spans="1:20" ht="17" thickBot="1" x14ac:dyDescent="0.25">
      <c r="A16" s="2"/>
      <c r="B16" s="26"/>
      <c r="C16" s="7"/>
      <c r="D16" s="7"/>
      <c r="E16" s="2">
        <f>IF(C16&gt;D16,1,0)</f>
        <v>0</v>
      </c>
      <c r="F16" s="2">
        <f t="shared" si="13"/>
        <v>0</v>
      </c>
      <c r="G16" s="37"/>
      <c r="H16" s="34"/>
      <c r="I16" s="8"/>
      <c r="J16" s="8"/>
      <c r="K16" s="8"/>
      <c r="L16" s="8" t="s">
        <v>122</v>
      </c>
      <c r="M16" s="8"/>
      <c r="N16" s="8"/>
      <c r="O16" s="8"/>
      <c r="P16" s="2"/>
      <c r="Q16" s="2"/>
      <c r="R16" s="2"/>
      <c r="S16" s="2"/>
      <c r="T16" s="2"/>
    </row>
    <row r="17" spans="1:20" ht="17" thickBot="1" x14ac:dyDescent="0.25">
      <c r="A17" s="24">
        <f>J6</f>
        <v>0.78125</v>
      </c>
      <c r="B17" s="5" t="s">
        <v>22</v>
      </c>
      <c r="C17" s="6">
        <f>SUM(C14:C16)</f>
        <v>15</v>
      </c>
      <c r="D17" s="6">
        <f>SUM(D14:D16)</f>
        <v>22</v>
      </c>
      <c r="E17" s="6">
        <f>SUM(E14:E16)</f>
        <v>0</v>
      </c>
      <c r="F17" s="6">
        <f>SUM(F14:F16)</f>
        <v>2</v>
      </c>
      <c r="G17" s="38"/>
      <c r="H17" s="35"/>
      <c r="I17" s="2"/>
      <c r="J17" s="2"/>
      <c r="K17" s="2"/>
      <c r="L17" s="2" t="s">
        <v>123</v>
      </c>
      <c r="M17" s="2"/>
      <c r="N17" s="2"/>
      <c r="O17" s="2"/>
      <c r="P17" s="2"/>
      <c r="Q17" s="2"/>
      <c r="R17" s="2"/>
      <c r="S17" s="2"/>
      <c r="T17" s="2"/>
    </row>
    <row r="18" spans="1:20" ht="17" thickBot="1" x14ac:dyDescent="0.25">
      <c r="A18" s="29"/>
      <c r="B18" s="14" t="s">
        <v>124</v>
      </c>
      <c r="C18" s="10" t="s">
        <v>25</v>
      </c>
      <c r="D18" s="10" t="s">
        <v>37</v>
      </c>
      <c r="E18" s="10" t="str">
        <f>C18</f>
        <v>C2</v>
      </c>
      <c r="F18" s="10" t="str">
        <f>D18</f>
        <v>C4</v>
      </c>
      <c r="G18" s="36" t="str">
        <f t="shared" ref="G18" si="14">IF(E22&gt;F22,E18,F18)</f>
        <v>C4</v>
      </c>
      <c r="H18" s="33" t="str">
        <f t="shared" ref="H18" si="15">IF(E22&gt;F22,F18,E18)</f>
        <v>C2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">
      <c r="A19" s="2"/>
      <c r="B19" s="28" t="str">
        <f>IF(E22&gt;F22,E18,F18)</f>
        <v>C4</v>
      </c>
      <c r="C19" s="7">
        <v>11</v>
      </c>
      <c r="D19" s="7">
        <v>13</v>
      </c>
      <c r="E19" s="2">
        <f>IF(C19&gt;D19,1,0)</f>
        <v>0</v>
      </c>
      <c r="F19" s="2">
        <f>IF(D19&gt;C19,1,0)</f>
        <v>1</v>
      </c>
      <c r="G19" s="37"/>
      <c r="H19" s="3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 s="2"/>
      <c r="B20" s="28"/>
      <c r="C20" s="7">
        <v>11</v>
      </c>
      <c r="D20" s="7">
        <v>4</v>
      </c>
      <c r="E20" s="2">
        <f>IF(C20&gt;D20,1,0)</f>
        <v>1</v>
      </c>
      <c r="F20" s="2">
        <f>IF(D20&gt;C20,1,0)</f>
        <v>0</v>
      </c>
      <c r="G20" s="37"/>
      <c r="H20" s="3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7" thickBot="1" x14ac:dyDescent="0.25">
      <c r="A21" s="2"/>
      <c r="B21" s="28"/>
      <c r="C21" s="7"/>
      <c r="D21" s="7"/>
      <c r="E21" s="2">
        <f>IF(C21&gt;D21,1,0)</f>
        <v>0</v>
      </c>
      <c r="F21" s="2">
        <f>IF(D21&gt;C21,1,0)</f>
        <v>0</v>
      </c>
      <c r="G21" s="37"/>
      <c r="H21" s="3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7" thickBot="1" x14ac:dyDescent="0.25">
      <c r="A22" s="24">
        <f>J7</f>
        <v>0.79861111111111105</v>
      </c>
      <c r="B22" s="5" t="s">
        <v>22</v>
      </c>
      <c r="C22" s="6">
        <f>SUM(C19:C21)</f>
        <v>22</v>
      </c>
      <c r="D22" s="6">
        <f t="shared" ref="D22:F22" si="16">SUM(D19:D21)</f>
        <v>17</v>
      </c>
      <c r="E22" s="6">
        <f t="shared" si="16"/>
        <v>1</v>
      </c>
      <c r="F22" s="6">
        <f t="shared" si="16"/>
        <v>1</v>
      </c>
      <c r="G22" s="38"/>
      <c r="H22" s="3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7" thickBot="1" x14ac:dyDescent="0.25">
      <c r="A23" s="25"/>
      <c r="B23" s="14" t="s">
        <v>125</v>
      </c>
      <c r="C23" s="10" t="s">
        <v>28</v>
      </c>
      <c r="D23" s="10" t="s">
        <v>37</v>
      </c>
      <c r="E23" s="10" t="str">
        <f>C23</f>
        <v>C1</v>
      </c>
      <c r="F23" s="10" t="str">
        <f>D23</f>
        <v>C4</v>
      </c>
      <c r="G23" s="36" t="str">
        <f t="shared" ref="G23" si="17">IF(E27&gt;F27,E23,F23)</f>
        <v>C1</v>
      </c>
      <c r="H23" s="33" t="str">
        <f t="shared" ref="H23" si="18">IF(E27&gt;F27,F23,E23)</f>
        <v>C4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">
      <c r="A24" s="2"/>
      <c r="B24" s="28" t="str">
        <f>IF(E27&gt;F27,E23,F23)</f>
        <v>C1</v>
      </c>
      <c r="C24" s="7">
        <v>10</v>
      </c>
      <c r="D24" s="7">
        <v>12</v>
      </c>
      <c r="E24" s="2">
        <f>IF(C24&gt;D24,1,0)</f>
        <v>0</v>
      </c>
      <c r="F24" s="2">
        <f>IF(D24&gt;C24,1,0)</f>
        <v>1</v>
      </c>
      <c r="G24" s="37"/>
      <c r="H24" s="3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">
      <c r="A25" s="2"/>
      <c r="B25" s="28"/>
      <c r="C25" s="7">
        <v>11</v>
      </c>
      <c r="D25" s="7">
        <v>5</v>
      </c>
      <c r="E25" s="2">
        <f t="shared" ref="E25:E26" si="19">IF(C25&gt;D25,1,0)</f>
        <v>1</v>
      </c>
      <c r="F25" s="2">
        <f t="shared" ref="F25:F26" si="20">IF(D25&gt;C25,1,0)</f>
        <v>0</v>
      </c>
      <c r="G25" s="37"/>
      <c r="H25" s="3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7" thickBot="1" x14ac:dyDescent="0.25">
      <c r="A26" s="2"/>
      <c r="B26" s="28"/>
      <c r="C26" s="7">
        <v>11</v>
      </c>
      <c r="D26" s="7">
        <v>9</v>
      </c>
      <c r="E26" s="2">
        <f t="shared" si="19"/>
        <v>1</v>
      </c>
      <c r="F26" s="2">
        <f t="shared" si="20"/>
        <v>0</v>
      </c>
      <c r="G26" s="37"/>
      <c r="H26" s="3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7" thickBot="1" x14ac:dyDescent="0.25">
      <c r="A27" s="24">
        <f>J8</f>
        <v>0.81597222222222199</v>
      </c>
      <c r="B27" s="5" t="s">
        <v>22</v>
      </c>
      <c r="C27" s="6">
        <f>SUM(C24:C26)</f>
        <v>32</v>
      </c>
      <c r="D27" s="6">
        <f t="shared" ref="D27:F27" si="21">SUM(D24:D26)</f>
        <v>26</v>
      </c>
      <c r="E27" s="6">
        <f t="shared" si="21"/>
        <v>2</v>
      </c>
      <c r="F27" s="6">
        <f t="shared" si="21"/>
        <v>1</v>
      </c>
      <c r="G27" s="38"/>
      <c r="H27" s="3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7" thickBot="1" x14ac:dyDescent="0.25">
      <c r="A28" s="25"/>
      <c r="B28" s="14" t="s">
        <v>126</v>
      </c>
      <c r="C28" s="10" t="s">
        <v>25</v>
      </c>
      <c r="D28" s="10" t="s">
        <v>29</v>
      </c>
      <c r="E28" s="10" t="str">
        <f>C28</f>
        <v>C2</v>
      </c>
      <c r="F28" s="10" t="str">
        <f>D28</f>
        <v>C3</v>
      </c>
      <c r="G28" s="36" t="str">
        <f t="shared" ref="G28" si="22">IF(E32&gt;F32,E28,F28)</f>
        <v>C3</v>
      </c>
      <c r="H28" s="33" t="str">
        <f>IF(E32&gt;F32,F28,E28)</f>
        <v>C2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">
      <c r="A29" s="2"/>
      <c r="B29" s="28" t="str">
        <f>IF(E32&gt;F32,E28,F28)</f>
        <v>C3</v>
      </c>
      <c r="C29" s="7">
        <v>11</v>
      </c>
      <c r="D29" s="7">
        <v>9</v>
      </c>
      <c r="E29" s="2">
        <f>IF(C29&gt;D29,1,0)</f>
        <v>1</v>
      </c>
      <c r="F29" s="2">
        <f>IF(D29&gt;C29,1,0)</f>
        <v>0</v>
      </c>
      <c r="G29" s="37"/>
      <c r="H29" s="3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7" thickBot="1" x14ac:dyDescent="0.25">
      <c r="A30" s="2"/>
      <c r="B30" s="28"/>
      <c r="C30" s="7">
        <v>9</v>
      </c>
      <c r="D30" s="7">
        <v>11</v>
      </c>
      <c r="E30" s="2">
        <f t="shared" ref="E30:E31" si="23">IF(C30&gt;D30,1,0)</f>
        <v>0</v>
      </c>
      <c r="F30" s="2">
        <f t="shared" ref="F30:F31" si="24">IF(D30&gt;C30,1,0)</f>
        <v>1</v>
      </c>
      <c r="G30" s="37"/>
      <c r="H30" s="3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">
      <c r="A31" s="24">
        <f>J9</f>
        <v>0.83333333333333404</v>
      </c>
      <c r="B31" s="28"/>
      <c r="C31" s="7">
        <v>11</v>
      </c>
      <c r="D31" s="7">
        <v>13</v>
      </c>
      <c r="E31" s="2">
        <f t="shared" si="23"/>
        <v>0</v>
      </c>
      <c r="F31" s="2">
        <f t="shared" si="24"/>
        <v>1</v>
      </c>
      <c r="G31" s="37"/>
      <c r="H31" s="3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7" thickBot="1" x14ac:dyDescent="0.25">
      <c r="A32" s="25"/>
      <c r="B32" s="5" t="s">
        <v>22</v>
      </c>
      <c r="C32" s="6">
        <f>SUM(C29:C31)</f>
        <v>31</v>
      </c>
      <c r="D32" s="6">
        <f t="shared" ref="D32:F32" si="25">SUM(D29:D31)</f>
        <v>33</v>
      </c>
      <c r="E32" s="6">
        <f t="shared" si="25"/>
        <v>1</v>
      </c>
      <c r="F32" s="6">
        <f t="shared" si="25"/>
        <v>2</v>
      </c>
      <c r="G32" s="38"/>
      <c r="H32" s="3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</sheetData>
  <mergeCells count="28">
    <mergeCell ref="G18:G22"/>
    <mergeCell ref="H18:H22"/>
    <mergeCell ref="B19:B21"/>
    <mergeCell ref="A22:A23"/>
    <mergeCell ref="G23:G27"/>
    <mergeCell ref="H23:H27"/>
    <mergeCell ref="B24:B26"/>
    <mergeCell ref="A27:A28"/>
    <mergeCell ref="G28:G32"/>
    <mergeCell ref="H28:H32"/>
    <mergeCell ref="B29:B31"/>
    <mergeCell ref="A31:A32"/>
    <mergeCell ref="I1:J2"/>
    <mergeCell ref="C2:D2"/>
    <mergeCell ref="E2:F2"/>
    <mergeCell ref="A3:A4"/>
    <mergeCell ref="G3:G7"/>
    <mergeCell ref="H3:H7"/>
    <mergeCell ref="B4:B6"/>
    <mergeCell ref="A7:A8"/>
    <mergeCell ref="G8:G12"/>
    <mergeCell ref="H8:H12"/>
    <mergeCell ref="B9:B11"/>
    <mergeCell ref="A12:A13"/>
    <mergeCell ref="G13:G17"/>
    <mergeCell ref="H13:H17"/>
    <mergeCell ref="B14:B16"/>
    <mergeCell ref="A17:A1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2F66D-33D6-0F44-A4B2-D085E8852554}">
  <dimension ref="A1:T32"/>
  <sheetViews>
    <sheetView workbookViewId="0">
      <selection activeCell="C20" sqref="C20"/>
    </sheetView>
  </sheetViews>
  <sheetFormatPr baseColWidth="10" defaultRowHeight="16" x14ac:dyDescent="0.2"/>
  <sheetData>
    <row r="1" spans="1:20" x14ac:dyDescent="0.2">
      <c r="A1" s="16"/>
      <c r="B1" s="21" t="s">
        <v>127</v>
      </c>
      <c r="C1" s="22"/>
      <c r="D1" s="22"/>
      <c r="E1" s="22"/>
      <c r="F1" s="22"/>
      <c r="G1" s="22"/>
      <c r="H1" s="23"/>
      <c r="I1" s="39" t="s">
        <v>55</v>
      </c>
      <c r="J1" s="40"/>
      <c r="K1" s="8" t="s">
        <v>56</v>
      </c>
      <c r="L1" s="2" t="s">
        <v>128</v>
      </c>
      <c r="M1" s="8" t="s">
        <v>129</v>
      </c>
      <c r="N1" s="8" t="s">
        <v>130</v>
      </c>
      <c r="O1" s="8" t="s">
        <v>131</v>
      </c>
      <c r="P1" s="8" t="s">
        <v>132</v>
      </c>
      <c r="Q1" s="8" t="s">
        <v>133</v>
      </c>
      <c r="R1" s="8" t="s">
        <v>73</v>
      </c>
      <c r="S1" s="8" t="s">
        <v>74</v>
      </c>
      <c r="T1" s="2" t="s">
        <v>78</v>
      </c>
    </row>
    <row r="2" spans="1:20" ht="17" thickBot="1" x14ac:dyDescent="0.25">
      <c r="A2" s="17"/>
      <c r="B2" s="3"/>
      <c r="C2" s="30" t="s">
        <v>134</v>
      </c>
      <c r="D2" s="31"/>
      <c r="E2" s="30" t="s">
        <v>135</v>
      </c>
      <c r="F2" s="32"/>
      <c r="G2" s="18" t="s">
        <v>136</v>
      </c>
      <c r="H2" s="4" t="s">
        <v>137</v>
      </c>
      <c r="I2" s="41"/>
      <c r="J2" s="42"/>
      <c r="K2" s="8" t="str">
        <f>C3</f>
        <v>D1</v>
      </c>
      <c r="L2" s="2">
        <f>M2*10000+Q2*100+T2</f>
        <v>20002</v>
      </c>
      <c r="M2" s="8">
        <f>COUNTIF($G$3:$G$32,$K2)</f>
        <v>2</v>
      </c>
      <c r="N2" s="8">
        <f>COUNTIF($H$3:$H$32,$K2)</f>
        <v>1</v>
      </c>
      <c r="O2" s="8">
        <f>E7+E17+E27</f>
        <v>4</v>
      </c>
      <c r="P2" s="8">
        <f>F7+F17+F27</f>
        <v>4</v>
      </c>
      <c r="Q2" s="8">
        <f>O2-P2</f>
        <v>0</v>
      </c>
      <c r="R2" s="8">
        <f>+C7+C17+C27</f>
        <v>78</v>
      </c>
      <c r="S2" s="8">
        <f>D7+D17+D27</f>
        <v>76</v>
      </c>
      <c r="T2" s="2">
        <f>R2-S2</f>
        <v>2</v>
      </c>
    </row>
    <row r="3" spans="1:20" x14ac:dyDescent="0.2">
      <c r="A3" s="24">
        <f>J3</f>
        <v>0.72916666666666663</v>
      </c>
      <c r="B3" s="14" t="s">
        <v>138</v>
      </c>
      <c r="C3" s="10" t="s">
        <v>39</v>
      </c>
      <c r="D3" s="15" t="s">
        <v>30</v>
      </c>
      <c r="E3" s="10" t="str">
        <f>C3</f>
        <v>D1</v>
      </c>
      <c r="F3" s="15" t="str">
        <f>D3</f>
        <v>D2</v>
      </c>
      <c r="G3" s="36" t="str">
        <f>IF(E7&gt;F7,E3,F3)</f>
        <v>D1</v>
      </c>
      <c r="H3" s="33" t="str">
        <f>IF(E7&gt;F7,F3,E3)</f>
        <v>D2</v>
      </c>
      <c r="I3" s="2" t="s">
        <v>43</v>
      </c>
      <c r="J3" s="12">
        <v>0.72916666666666663</v>
      </c>
      <c r="K3" s="20" t="str">
        <f>D3</f>
        <v>D2</v>
      </c>
      <c r="L3" s="2">
        <f t="shared" ref="L3:L5" si="0">M3*10000+Q3*100+T3</f>
        <v>20214</v>
      </c>
      <c r="M3" s="8">
        <f t="shared" ref="M3:M5" si="1">COUNTIF($G$3:$G$32,$K3)</f>
        <v>2</v>
      </c>
      <c r="N3" s="8">
        <f t="shared" ref="N3:N5" si="2">COUNTIF($H$3:$H$32,$K3)</f>
        <v>1</v>
      </c>
      <c r="O3" s="8">
        <f>F7+E22+E32</f>
        <v>5</v>
      </c>
      <c r="P3" s="8">
        <f>E7+F22+F32</f>
        <v>3</v>
      </c>
      <c r="Q3" s="8">
        <f t="shared" ref="Q3:Q5" si="3">O3-P3</f>
        <v>2</v>
      </c>
      <c r="R3" s="8">
        <f>D7+C22+C32</f>
        <v>78</v>
      </c>
      <c r="S3" s="8">
        <f>C7+D22+D32</f>
        <v>64</v>
      </c>
      <c r="T3" s="2">
        <f t="shared" ref="T3:T5" si="4">R3-S3</f>
        <v>14</v>
      </c>
    </row>
    <row r="4" spans="1:20" ht="17" thickBot="1" x14ac:dyDescent="0.25">
      <c r="A4" s="29"/>
      <c r="B4" s="26" t="str">
        <f>IF(E7&gt;F7,E3,F3)</f>
        <v>D1</v>
      </c>
      <c r="C4" s="7">
        <v>11</v>
      </c>
      <c r="D4" s="7">
        <v>10</v>
      </c>
      <c r="E4" s="2">
        <f>IF(C4&gt;D4,1,0)</f>
        <v>1</v>
      </c>
      <c r="F4" s="2">
        <f>IF(D4&gt;C4,1,0)</f>
        <v>0</v>
      </c>
      <c r="G4" s="37"/>
      <c r="H4" s="34"/>
      <c r="I4" s="2" t="s">
        <v>44</v>
      </c>
      <c r="J4" s="12">
        <v>0.74652777777777779</v>
      </c>
      <c r="K4" s="8" t="str">
        <f>C8</f>
        <v>D3</v>
      </c>
      <c r="L4" s="2">
        <f t="shared" si="0"/>
        <v>20313</v>
      </c>
      <c r="M4" s="8">
        <f t="shared" si="1"/>
        <v>2</v>
      </c>
      <c r="N4" s="8">
        <f t="shared" si="2"/>
        <v>1</v>
      </c>
      <c r="O4" s="8">
        <f>E12+F17+F32</f>
        <v>5</v>
      </c>
      <c r="P4" s="8">
        <f>F12+E17+E32</f>
        <v>2</v>
      </c>
      <c r="Q4" s="8">
        <f t="shared" si="3"/>
        <v>3</v>
      </c>
      <c r="R4" s="8">
        <f>C12+D17+D32</f>
        <v>68</v>
      </c>
      <c r="S4" s="8">
        <f>D12+C17+C32</f>
        <v>55</v>
      </c>
      <c r="T4" s="2">
        <f t="shared" si="4"/>
        <v>13</v>
      </c>
    </row>
    <row r="5" spans="1:20" x14ac:dyDescent="0.2">
      <c r="A5" s="2"/>
      <c r="B5" s="26"/>
      <c r="C5" s="7">
        <v>7</v>
      </c>
      <c r="D5" s="7">
        <v>11</v>
      </c>
      <c r="E5" s="2">
        <f t="shared" ref="E5:E6" si="5">IF(C5&gt;D5,1,0)</f>
        <v>0</v>
      </c>
      <c r="F5" s="2">
        <f t="shared" ref="F5:F6" si="6">IF(D5&gt;C5,1,0)</f>
        <v>1</v>
      </c>
      <c r="G5" s="37"/>
      <c r="H5" s="34"/>
      <c r="I5" s="2" t="s">
        <v>45</v>
      </c>
      <c r="J5" s="12">
        <v>0.76388888888888895</v>
      </c>
      <c r="K5" s="8" t="str">
        <f>D8</f>
        <v>D4</v>
      </c>
      <c r="L5" s="2">
        <f t="shared" si="0"/>
        <v>-529</v>
      </c>
      <c r="M5" s="8">
        <f t="shared" si="1"/>
        <v>0</v>
      </c>
      <c r="N5" s="8">
        <f t="shared" si="2"/>
        <v>3</v>
      </c>
      <c r="O5" s="8">
        <f>F12+F22+F27</f>
        <v>1</v>
      </c>
      <c r="P5" s="8">
        <f>E12+E22+E27</f>
        <v>6</v>
      </c>
      <c r="Q5" s="8">
        <f t="shared" si="3"/>
        <v>-5</v>
      </c>
      <c r="R5" s="8">
        <f>D12+D22+D27</f>
        <v>47</v>
      </c>
      <c r="S5" s="8">
        <f>C12+C22+C27</f>
        <v>76</v>
      </c>
      <c r="T5" s="2">
        <f t="shared" si="4"/>
        <v>-29</v>
      </c>
    </row>
    <row r="6" spans="1:20" ht="17" thickBot="1" x14ac:dyDescent="0.25">
      <c r="A6" s="9"/>
      <c r="B6" s="26"/>
      <c r="C6" s="7">
        <v>11</v>
      </c>
      <c r="D6" s="7">
        <v>9</v>
      </c>
      <c r="E6" s="2">
        <f t="shared" si="5"/>
        <v>1</v>
      </c>
      <c r="F6" s="2">
        <f t="shared" si="6"/>
        <v>0</v>
      </c>
      <c r="G6" s="37"/>
      <c r="H6" s="34"/>
      <c r="I6" s="2" t="s">
        <v>46</v>
      </c>
      <c r="J6" s="12">
        <v>0.78125</v>
      </c>
      <c r="K6" s="2"/>
      <c r="L6" s="8"/>
      <c r="M6" s="8"/>
      <c r="N6" s="8"/>
      <c r="O6" s="8"/>
      <c r="P6" s="8"/>
      <c r="Q6" s="8"/>
      <c r="R6" s="8"/>
      <c r="S6" s="8"/>
      <c r="T6" s="2"/>
    </row>
    <row r="7" spans="1:20" ht="17" thickBot="1" x14ac:dyDescent="0.25">
      <c r="A7" s="24">
        <f>J4</f>
        <v>0.74652777777777779</v>
      </c>
      <c r="B7" s="5" t="s">
        <v>22</v>
      </c>
      <c r="C7" s="6">
        <f>SUM(C4:C6)</f>
        <v>29</v>
      </c>
      <c r="D7" s="6">
        <f>SUM(D4:D6)</f>
        <v>30</v>
      </c>
      <c r="E7" s="6">
        <f>SUM((E4:E6))</f>
        <v>2</v>
      </c>
      <c r="F7" s="6">
        <f>SUM((F4:F6))</f>
        <v>1</v>
      </c>
      <c r="G7" s="38"/>
      <c r="H7" s="35"/>
      <c r="I7" s="2" t="s">
        <v>47</v>
      </c>
      <c r="J7" s="12">
        <v>0.79861111111111105</v>
      </c>
      <c r="K7" s="2"/>
      <c r="L7" s="2"/>
      <c r="M7" s="2"/>
      <c r="N7" s="2"/>
      <c r="O7" s="2"/>
      <c r="P7" s="2"/>
      <c r="Q7" s="2"/>
      <c r="R7" s="2"/>
      <c r="S7" s="2"/>
      <c r="T7" s="2"/>
    </row>
    <row r="8" spans="1:20" ht="17" thickBot="1" x14ac:dyDescent="0.25">
      <c r="A8" s="29"/>
      <c r="B8" s="14" t="s">
        <v>139</v>
      </c>
      <c r="C8" s="10" t="s">
        <v>31</v>
      </c>
      <c r="D8" s="10" t="s">
        <v>32</v>
      </c>
      <c r="E8" s="10" t="str">
        <f>C8</f>
        <v>D3</v>
      </c>
      <c r="F8" s="10" t="str">
        <f>D8</f>
        <v>D4</v>
      </c>
      <c r="G8" s="36" t="str">
        <f t="shared" ref="G8" si="7">IF(E12&gt;F12,E8,F8)</f>
        <v>D3</v>
      </c>
      <c r="H8" s="33" t="str">
        <f t="shared" ref="H8" si="8">IF(E12&gt;F12,F8,E8)</f>
        <v>D4</v>
      </c>
      <c r="I8" s="2" t="s">
        <v>48</v>
      </c>
      <c r="J8" s="12">
        <v>0.81597222222222199</v>
      </c>
      <c r="K8" s="8"/>
      <c r="L8" s="2"/>
      <c r="M8" s="2"/>
      <c r="N8" s="2"/>
      <c r="O8" s="2"/>
      <c r="P8" s="2"/>
      <c r="Q8" s="2"/>
      <c r="R8" s="2"/>
      <c r="S8" s="2"/>
      <c r="T8" s="2"/>
    </row>
    <row r="9" spans="1:20" ht="17" thickBot="1" x14ac:dyDescent="0.25">
      <c r="A9" s="9"/>
      <c r="B9" s="26" t="str">
        <f>IF(E12&gt;F12,E8,F8)</f>
        <v>D3</v>
      </c>
      <c r="C9" s="7">
        <v>11</v>
      </c>
      <c r="D9" s="7">
        <v>5</v>
      </c>
      <c r="E9" s="2">
        <f>IF(C9&gt;D9,1,0)</f>
        <v>1</v>
      </c>
      <c r="F9" s="2">
        <f>IF(D9&gt;C9,1,0)</f>
        <v>0</v>
      </c>
      <c r="G9" s="37"/>
      <c r="H9" s="34"/>
      <c r="I9" s="6" t="s">
        <v>49</v>
      </c>
      <c r="J9" s="13">
        <v>0.83333333333333404</v>
      </c>
      <c r="K9" s="8"/>
      <c r="L9" s="2"/>
      <c r="M9" s="2"/>
      <c r="N9" s="2"/>
      <c r="O9" s="2"/>
      <c r="P9" s="2"/>
      <c r="Q9" s="2"/>
      <c r="R9" s="2"/>
      <c r="S9" s="2"/>
      <c r="T9" s="2"/>
    </row>
    <row r="10" spans="1:20" x14ac:dyDescent="0.2">
      <c r="A10" s="2"/>
      <c r="B10" s="26"/>
      <c r="C10" s="7">
        <v>11</v>
      </c>
      <c r="D10" s="7">
        <v>7</v>
      </c>
      <c r="E10" s="2">
        <f t="shared" ref="E10:E11" si="9">IF(C10&gt;D10,1,0)</f>
        <v>1</v>
      </c>
      <c r="F10" s="2">
        <f t="shared" ref="F10:F11" si="10">IF(D10&gt;C10,1,0)</f>
        <v>0</v>
      </c>
      <c r="G10" s="37"/>
      <c r="H10" s="34"/>
      <c r="I10" s="2"/>
      <c r="J10" s="9"/>
      <c r="K10" s="8"/>
      <c r="L10" s="2"/>
      <c r="M10" s="2"/>
      <c r="N10" s="2"/>
      <c r="O10" s="2"/>
      <c r="P10" s="2"/>
      <c r="Q10" s="2"/>
      <c r="R10" s="2"/>
      <c r="S10" s="2"/>
      <c r="T10" s="2"/>
    </row>
    <row r="11" spans="1:20" ht="17" thickBot="1" x14ac:dyDescent="0.25">
      <c r="A11" s="9"/>
      <c r="B11" s="26"/>
      <c r="C11" s="7"/>
      <c r="D11" s="7"/>
      <c r="E11" s="2">
        <f t="shared" si="9"/>
        <v>0</v>
      </c>
      <c r="F11" s="2">
        <f t="shared" si="10"/>
        <v>0</v>
      </c>
      <c r="G11" s="37"/>
      <c r="H11" s="34"/>
      <c r="I11" s="2"/>
      <c r="J11" s="9"/>
      <c r="K11" s="8"/>
      <c r="L11" s="2"/>
      <c r="M11" s="2"/>
      <c r="N11" s="2"/>
      <c r="O11" s="2"/>
      <c r="P11" s="2"/>
      <c r="Q11" s="2"/>
      <c r="R11" s="2"/>
      <c r="S11" s="2"/>
      <c r="T11" s="2"/>
    </row>
    <row r="12" spans="1:20" ht="17" thickBot="1" x14ac:dyDescent="0.25">
      <c r="A12" s="24">
        <f>J5</f>
        <v>0.76388888888888895</v>
      </c>
      <c r="B12" s="5" t="s">
        <v>22</v>
      </c>
      <c r="C12" s="6">
        <f>SUM(C9:C11)</f>
        <v>22</v>
      </c>
      <c r="D12" s="6">
        <f>SUM(D9:D11)</f>
        <v>12</v>
      </c>
      <c r="E12" s="6">
        <f>SUM(E9:E11)</f>
        <v>2</v>
      </c>
      <c r="F12" s="6">
        <f>SUM(F9:F11)</f>
        <v>0</v>
      </c>
      <c r="G12" s="38"/>
      <c r="H12" s="35"/>
      <c r="I12" s="8"/>
      <c r="J12" s="8"/>
      <c r="K12" s="8"/>
      <c r="L12" s="8"/>
      <c r="M12" s="8"/>
      <c r="N12" s="8"/>
      <c r="O12" s="8"/>
      <c r="P12" s="2"/>
      <c r="Q12" s="2"/>
      <c r="R12" s="2"/>
      <c r="S12" s="2"/>
      <c r="T12" s="2"/>
    </row>
    <row r="13" spans="1:20" ht="17" thickBot="1" x14ac:dyDescent="0.25">
      <c r="A13" s="29"/>
      <c r="B13" s="14" t="s">
        <v>140</v>
      </c>
      <c r="C13" s="10" t="s">
        <v>39</v>
      </c>
      <c r="D13" s="10" t="s">
        <v>31</v>
      </c>
      <c r="E13" s="10" t="str">
        <f>C13</f>
        <v>D1</v>
      </c>
      <c r="F13" s="10" t="str">
        <f>D13</f>
        <v>D3</v>
      </c>
      <c r="G13" s="36" t="str">
        <f t="shared" ref="G13" si="11">IF(E17&gt;F17,E13,F13)</f>
        <v>D3</v>
      </c>
      <c r="H13" s="33" t="str">
        <f t="shared" ref="H13" si="12">IF(E17&gt;F17,F13,E13)</f>
        <v>D1</v>
      </c>
      <c r="I13" s="8"/>
      <c r="J13" s="8"/>
      <c r="K13" s="8"/>
      <c r="L13" s="8" t="s">
        <v>141</v>
      </c>
      <c r="M13" s="8"/>
      <c r="N13" s="8"/>
      <c r="O13" s="8"/>
      <c r="P13" s="2"/>
      <c r="Q13" s="2"/>
      <c r="R13" s="2"/>
      <c r="S13" s="2"/>
      <c r="T13" s="2"/>
    </row>
    <row r="14" spans="1:20" x14ac:dyDescent="0.2">
      <c r="A14" s="9"/>
      <c r="B14" s="27" t="str">
        <f>IF(E17&gt;F17,E13,F13)</f>
        <v>D3</v>
      </c>
      <c r="C14" s="7">
        <v>7</v>
      </c>
      <c r="D14" s="7">
        <v>11</v>
      </c>
      <c r="E14" s="2">
        <f>IF(C14&gt;D14,1,0)</f>
        <v>0</v>
      </c>
      <c r="F14" s="2">
        <f>IF(D14&gt;C14,1,0)</f>
        <v>1</v>
      </c>
      <c r="G14" s="37"/>
      <c r="H14" s="34"/>
      <c r="I14" s="8"/>
      <c r="J14" s="8"/>
      <c r="K14" s="8"/>
      <c r="L14" s="8" t="s">
        <v>142</v>
      </c>
      <c r="M14" s="8"/>
      <c r="N14" s="8"/>
      <c r="O14" s="8"/>
      <c r="P14" s="2"/>
      <c r="Q14" s="2"/>
      <c r="R14" s="2"/>
      <c r="S14" s="2"/>
      <c r="T14" s="2"/>
    </row>
    <row r="15" spans="1:20" x14ac:dyDescent="0.2">
      <c r="A15" s="2"/>
      <c r="B15" s="26"/>
      <c r="C15" s="7">
        <v>10</v>
      </c>
      <c r="D15" s="7">
        <v>12</v>
      </c>
      <c r="E15" s="2">
        <f>IF(C15&gt;D15,1,0)</f>
        <v>0</v>
      </c>
      <c r="F15" s="2">
        <f t="shared" ref="F15:F16" si="13">IF(D15&gt;C15,1,0)</f>
        <v>1</v>
      </c>
      <c r="G15" s="37"/>
      <c r="H15" s="34"/>
      <c r="I15" s="8"/>
      <c r="J15" s="8"/>
      <c r="K15" s="8"/>
      <c r="L15" s="8" t="s">
        <v>143</v>
      </c>
      <c r="M15" s="8"/>
      <c r="N15" s="8"/>
      <c r="O15" s="8"/>
      <c r="P15" s="2"/>
      <c r="Q15" s="2"/>
      <c r="R15" s="2"/>
      <c r="S15" s="2"/>
      <c r="T15" s="2"/>
    </row>
    <row r="16" spans="1:20" ht="17" thickBot="1" x14ac:dyDescent="0.25">
      <c r="A16" s="2"/>
      <c r="B16" s="26"/>
      <c r="C16" s="7"/>
      <c r="D16" s="7"/>
      <c r="E16" s="2">
        <f>IF(C16&gt;D16,1,0)</f>
        <v>0</v>
      </c>
      <c r="F16" s="2">
        <f t="shared" si="13"/>
        <v>0</v>
      </c>
      <c r="G16" s="37"/>
      <c r="H16" s="34"/>
      <c r="I16" s="8"/>
      <c r="J16" s="8"/>
      <c r="K16" s="8"/>
      <c r="L16" s="8" t="s">
        <v>144</v>
      </c>
      <c r="M16" s="8"/>
      <c r="N16" s="8"/>
      <c r="O16" s="8"/>
      <c r="P16" s="2"/>
      <c r="Q16" s="2"/>
      <c r="R16" s="2"/>
      <c r="S16" s="2"/>
      <c r="T16" s="2"/>
    </row>
    <row r="17" spans="1:20" ht="17" thickBot="1" x14ac:dyDescent="0.25">
      <c r="A17" s="24">
        <f>J6</f>
        <v>0.78125</v>
      </c>
      <c r="B17" s="5" t="s">
        <v>22</v>
      </c>
      <c r="C17" s="6">
        <f>SUM(C14:C16)</f>
        <v>17</v>
      </c>
      <c r="D17" s="6">
        <f>SUM(D14:D16)</f>
        <v>23</v>
      </c>
      <c r="E17" s="6">
        <f>SUM(E14:E16)</f>
        <v>0</v>
      </c>
      <c r="F17" s="6">
        <f>SUM(F14:F16)</f>
        <v>2</v>
      </c>
      <c r="G17" s="38"/>
      <c r="H17" s="35"/>
      <c r="I17" s="2"/>
      <c r="J17" s="2"/>
      <c r="K17" s="2"/>
      <c r="L17" s="2" t="s">
        <v>145</v>
      </c>
      <c r="M17" s="2"/>
      <c r="N17" s="2"/>
      <c r="O17" s="2"/>
      <c r="P17" s="2"/>
      <c r="Q17" s="2"/>
      <c r="R17" s="2"/>
      <c r="S17" s="2"/>
      <c r="T17" s="2"/>
    </row>
    <row r="18" spans="1:20" ht="17" thickBot="1" x14ac:dyDescent="0.25">
      <c r="A18" s="29"/>
      <c r="B18" s="14" t="s">
        <v>146</v>
      </c>
      <c r="C18" s="10" t="s">
        <v>30</v>
      </c>
      <c r="D18" s="10" t="s">
        <v>32</v>
      </c>
      <c r="E18" s="10" t="str">
        <f>C18</f>
        <v>D2</v>
      </c>
      <c r="F18" s="10" t="str">
        <f>D18</f>
        <v>D4</v>
      </c>
      <c r="G18" s="36" t="str">
        <f t="shared" ref="G18" si="14">IF(E22&gt;F22,E18,F18)</f>
        <v>D2</v>
      </c>
      <c r="H18" s="33" t="str">
        <f t="shared" ref="H18" si="15">IF(E22&gt;F22,F18,E18)</f>
        <v>D4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</row>
    <row r="19" spans="1:20" x14ac:dyDescent="0.2">
      <c r="A19" s="2"/>
      <c r="B19" s="28" t="str">
        <f>IF(E22&gt;F22,E18,F18)</f>
        <v>D2</v>
      </c>
      <c r="C19" s="7">
        <v>11</v>
      </c>
      <c r="D19" s="7">
        <v>3</v>
      </c>
      <c r="E19" s="2">
        <f>IF(C19&gt;D19,1,0)</f>
        <v>1</v>
      </c>
      <c r="F19" s="2">
        <f>IF(D19&gt;C19,1,0)</f>
        <v>0</v>
      </c>
      <c r="G19" s="37"/>
      <c r="H19" s="34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</row>
    <row r="20" spans="1:20" x14ac:dyDescent="0.2">
      <c r="A20" s="2"/>
      <c r="B20" s="28"/>
      <c r="C20" s="7">
        <v>11</v>
      </c>
      <c r="D20" s="7">
        <v>9</v>
      </c>
      <c r="E20" s="2">
        <f>IF(C20&gt;D20,1,0)</f>
        <v>1</v>
      </c>
      <c r="F20" s="2">
        <f>IF(D20&gt;C20,1,0)</f>
        <v>0</v>
      </c>
      <c r="G20" s="37"/>
      <c r="H20" s="3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 ht="17" thickBot="1" x14ac:dyDescent="0.25">
      <c r="A21" s="2"/>
      <c r="B21" s="28"/>
      <c r="C21" s="7"/>
      <c r="D21" s="7"/>
      <c r="E21" s="2">
        <f>IF(C21&gt;D21,1,0)</f>
        <v>0</v>
      </c>
      <c r="F21" s="2">
        <f>IF(D21&gt;C21,1,0)</f>
        <v>0</v>
      </c>
      <c r="G21" s="37"/>
      <c r="H21" s="3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</row>
    <row r="22" spans="1:20" ht="17" thickBot="1" x14ac:dyDescent="0.25">
      <c r="A22" s="24">
        <f>J7</f>
        <v>0.79861111111111105</v>
      </c>
      <c r="B22" s="5" t="s">
        <v>22</v>
      </c>
      <c r="C22" s="6">
        <f>SUM(C19:C21)</f>
        <v>22</v>
      </c>
      <c r="D22" s="6">
        <f t="shared" ref="D22:F22" si="16">SUM(D19:D21)</f>
        <v>12</v>
      </c>
      <c r="E22" s="6">
        <f t="shared" si="16"/>
        <v>2</v>
      </c>
      <c r="F22" s="6">
        <f t="shared" si="16"/>
        <v>0</v>
      </c>
      <c r="G22" s="38"/>
      <c r="H22" s="35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</row>
    <row r="23" spans="1:20" ht="17" thickBot="1" x14ac:dyDescent="0.25">
      <c r="A23" s="25"/>
      <c r="B23" s="14" t="s">
        <v>147</v>
      </c>
      <c r="C23" s="10" t="s">
        <v>39</v>
      </c>
      <c r="D23" s="10" t="s">
        <v>32</v>
      </c>
      <c r="E23" s="10" t="str">
        <f>C23</f>
        <v>D1</v>
      </c>
      <c r="F23" s="10" t="str">
        <f>D23</f>
        <v>D4</v>
      </c>
      <c r="G23" s="36" t="str">
        <f t="shared" ref="G23" si="17">IF(E27&gt;F27,E23,F23)</f>
        <v>D1</v>
      </c>
      <c r="H23" s="33" t="str">
        <f t="shared" ref="H23" si="18">IF(E27&gt;F27,F23,E23)</f>
        <v>D4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</row>
    <row r="24" spans="1:20" x14ac:dyDescent="0.2">
      <c r="A24" s="2"/>
      <c r="B24" s="28" t="str">
        <f>IF(E27&gt;F27,E23,F23)</f>
        <v>D1</v>
      </c>
      <c r="C24" s="7">
        <v>10</v>
      </c>
      <c r="D24" s="7">
        <v>12</v>
      </c>
      <c r="E24" s="2">
        <f>IF(C24&gt;D24,1,0)</f>
        <v>0</v>
      </c>
      <c r="F24" s="2">
        <f>IF(D24&gt;C24,1,0)</f>
        <v>1</v>
      </c>
      <c r="G24" s="37"/>
      <c r="H24" s="3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</row>
    <row r="25" spans="1:20" x14ac:dyDescent="0.2">
      <c r="A25" s="2"/>
      <c r="B25" s="28"/>
      <c r="C25" s="7">
        <v>11</v>
      </c>
      <c r="D25" s="7">
        <v>5</v>
      </c>
      <c r="E25" s="2">
        <f t="shared" ref="E25:E26" si="19">IF(C25&gt;D25,1,0)</f>
        <v>1</v>
      </c>
      <c r="F25" s="2">
        <f t="shared" ref="F25:F26" si="20">IF(D25&gt;C25,1,0)</f>
        <v>0</v>
      </c>
      <c r="G25" s="37"/>
      <c r="H25" s="34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</row>
    <row r="26" spans="1:20" ht="17" thickBot="1" x14ac:dyDescent="0.25">
      <c r="A26" s="2"/>
      <c r="B26" s="28"/>
      <c r="C26" s="7">
        <v>11</v>
      </c>
      <c r="D26" s="7">
        <v>6</v>
      </c>
      <c r="E26" s="2">
        <f t="shared" si="19"/>
        <v>1</v>
      </c>
      <c r="F26" s="2">
        <f t="shared" si="20"/>
        <v>0</v>
      </c>
      <c r="G26" s="37"/>
      <c r="H26" s="34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</row>
    <row r="27" spans="1:20" ht="17" thickBot="1" x14ac:dyDescent="0.25">
      <c r="A27" s="24">
        <f>J8</f>
        <v>0.81597222222222199</v>
      </c>
      <c r="B27" s="5" t="s">
        <v>22</v>
      </c>
      <c r="C27" s="6">
        <f>SUM(C24:C26)</f>
        <v>32</v>
      </c>
      <c r="D27" s="6">
        <f t="shared" ref="D27:F27" si="21">SUM(D24:D26)</f>
        <v>23</v>
      </c>
      <c r="E27" s="6">
        <f t="shared" si="21"/>
        <v>2</v>
      </c>
      <c r="F27" s="6">
        <f t="shared" si="21"/>
        <v>1</v>
      </c>
      <c r="G27" s="38"/>
      <c r="H27" s="3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 ht="17" thickBot="1" x14ac:dyDescent="0.25">
      <c r="A28" s="25"/>
      <c r="B28" s="14" t="s">
        <v>148</v>
      </c>
      <c r="C28" s="10" t="s">
        <v>30</v>
      </c>
      <c r="D28" s="10" t="s">
        <v>31</v>
      </c>
      <c r="E28" s="10" t="str">
        <f>C28</f>
        <v>D2</v>
      </c>
      <c r="F28" s="10" t="str">
        <f>D28</f>
        <v>D3</v>
      </c>
      <c r="G28" s="36" t="str">
        <f t="shared" ref="G28" si="22">IF(E32&gt;F32,E28,F28)</f>
        <v>D2</v>
      </c>
      <c r="H28" s="33" t="str">
        <f>IF(E32&gt;F32,F28,E28)</f>
        <v>D3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 x14ac:dyDescent="0.2">
      <c r="A29" s="2"/>
      <c r="B29" s="28" t="str">
        <f>IF(E32&gt;F32,E28,F28)</f>
        <v>D2</v>
      </c>
      <c r="C29" s="7">
        <v>11</v>
      </c>
      <c r="D29" s="7">
        <v>9</v>
      </c>
      <c r="E29" s="2">
        <f>IF(C29&gt;D29,1,0)</f>
        <v>1</v>
      </c>
      <c r="F29" s="2">
        <f>IF(D29&gt;C29,1,0)</f>
        <v>0</v>
      </c>
      <c r="G29" s="37"/>
      <c r="H29" s="34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 ht="17" thickBot="1" x14ac:dyDescent="0.25">
      <c r="A30" s="2"/>
      <c r="B30" s="28"/>
      <c r="C30" s="7">
        <v>4</v>
      </c>
      <c r="D30" s="7">
        <v>11</v>
      </c>
      <c r="E30" s="2">
        <f t="shared" ref="E30:E31" si="23">IF(C30&gt;D30,1,0)</f>
        <v>0</v>
      </c>
      <c r="F30" s="2">
        <f t="shared" ref="F30:F31" si="24">IF(D30&gt;C30,1,0)</f>
        <v>1</v>
      </c>
      <c r="G30" s="37"/>
      <c r="H30" s="34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 x14ac:dyDescent="0.2">
      <c r="A31" s="24">
        <f>J9</f>
        <v>0.83333333333333404</v>
      </c>
      <c r="B31" s="28"/>
      <c r="C31" s="7">
        <v>11</v>
      </c>
      <c r="D31" s="7">
        <v>3</v>
      </c>
      <c r="E31" s="2">
        <f t="shared" si="23"/>
        <v>1</v>
      </c>
      <c r="F31" s="2">
        <f t="shared" si="24"/>
        <v>0</v>
      </c>
      <c r="G31" s="37"/>
      <c r="H31" s="34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 ht="17" thickBot="1" x14ac:dyDescent="0.25">
      <c r="A32" s="25"/>
      <c r="B32" s="5" t="s">
        <v>22</v>
      </c>
      <c r="C32" s="6">
        <f>SUM(C29:C31)</f>
        <v>26</v>
      </c>
      <c r="D32" s="6">
        <f t="shared" ref="D32:F32" si="25">SUM(D29:D31)</f>
        <v>23</v>
      </c>
      <c r="E32" s="6">
        <f t="shared" si="25"/>
        <v>2</v>
      </c>
      <c r="F32" s="6">
        <f t="shared" si="25"/>
        <v>1</v>
      </c>
      <c r="G32" s="38"/>
      <c r="H32" s="35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</sheetData>
  <mergeCells count="28">
    <mergeCell ref="G18:G22"/>
    <mergeCell ref="H18:H22"/>
    <mergeCell ref="B19:B21"/>
    <mergeCell ref="A22:A23"/>
    <mergeCell ref="G23:G27"/>
    <mergeCell ref="H23:H27"/>
    <mergeCell ref="B24:B26"/>
    <mergeCell ref="A27:A28"/>
    <mergeCell ref="G28:G32"/>
    <mergeCell ref="H28:H32"/>
    <mergeCell ref="B29:B31"/>
    <mergeCell ref="A31:A32"/>
    <mergeCell ref="I1:J2"/>
    <mergeCell ref="C2:D2"/>
    <mergeCell ref="E2:F2"/>
    <mergeCell ref="A3:A4"/>
    <mergeCell ref="G3:G7"/>
    <mergeCell ref="H3:H7"/>
    <mergeCell ref="B4:B6"/>
    <mergeCell ref="A7:A8"/>
    <mergeCell ref="G8:G12"/>
    <mergeCell ref="H8:H12"/>
    <mergeCell ref="B9:B11"/>
    <mergeCell ref="A12:A13"/>
    <mergeCell ref="G13:G17"/>
    <mergeCell ref="H13:H17"/>
    <mergeCell ref="B14:B16"/>
    <mergeCell ref="A17:A1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9AD10-7FA9-1447-BF3A-415D8F775115}">
  <dimension ref="A1:D18"/>
  <sheetViews>
    <sheetView workbookViewId="0">
      <selection activeCell="D20" sqref="D20"/>
    </sheetView>
  </sheetViews>
  <sheetFormatPr baseColWidth="10" defaultRowHeight="16" x14ac:dyDescent="0.2"/>
  <cols>
    <col min="2" max="2" width="30" customWidth="1"/>
  </cols>
  <sheetData>
    <row r="1" spans="1:4" x14ac:dyDescent="0.2">
      <c r="A1" s="43" t="s">
        <v>82</v>
      </c>
      <c r="B1" s="43"/>
      <c r="C1" s="43"/>
      <c r="D1" s="43"/>
    </row>
    <row r="2" spans="1:4" x14ac:dyDescent="0.2">
      <c r="A2" t="s">
        <v>150</v>
      </c>
      <c r="B2" t="s">
        <v>151</v>
      </c>
      <c r="C2" t="s">
        <v>80</v>
      </c>
      <c r="D2" t="s">
        <v>149</v>
      </c>
    </row>
    <row r="3" spans="1:4" x14ac:dyDescent="0.2">
      <c r="A3" t="str">
        <f>CHAR(65+INT((ROW(A1)-1)/4)) &amp; MOD(ROW(A1)-1,4)+1</f>
        <v>A1</v>
      </c>
      <c r="B3" t="str">
        <f>IFERROR(
    INDEX(签到表!$B$2:$B$17,
        MATCH(A3, 签到表!$C$2:$C$17, 0)
    ),
    "待抽"
)</f>
        <v>Alagbada, Abiodun</v>
      </c>
      <c r="C3">
        <f>'Group A'!L2</f>
        <v>20004</v>
      </c>
      <c r="D3">
        <f>RANK(C3,$C$3:$C$18,0)</f>
        <v>6</v>
      </c>
    </row>
    <row r="4" spans="1:4" x14ac:dyDescent="0.2">
      <c r="A4" t="str">
        <f t="shared" ref="A4:A18" si="0">CHAR(65+INT((ROW(A2)-1)/4)) &amp; MOD(ROW(A2)-1,4)+1</f>
        <v>A2</v>
      </c>
      <c r="B4" t="str">
        <f>IFERROR(
    INDEX(签到表!$B$2:$B$17,
        MATCH(A4, 签到表!$C$2:$C$17, 0)
    ),
    "待抽"
)</f>
        <v>Maldikar, Ritik</v>
      </c>
      <c r="C4">
        <f>'Group A'!L3</f>
        <v>10000</v>
      </c>
      <c r="D4">
        <f t="shared" ref="D4:D18" si="1">RANK(C4,$C$3:$C$18,0)</f>
        <v>11</v>
      </c>
    </row>
    <row r="5" spans="1:4" x14ac:dyDescent="0.2">
      <c r="A5" t="str">
        <f t="shared" si="0"/>
        <v>A3</v>
      </c>
      <c r="B5" t="str">
        <f>IFERROR(
    INDEX(签到表!$B$2:$B$17,
        MATCH(A5, 签到表!$C$2:$C$17, 0)
    ),
    "待抽"
)</f>
        <v xml:space="preserve">Shah, Rabin Bikram </v>
      </c>
      <c r="C5">
        <f>'Group A'!L4</f>
        <v>20212</v>
      </c>
      <c r="D5">
        <f t="shared" si="1"/>
        <v>5</v>
      </c>
    </row>
    <row r="6" spans="1:4" x14ac:dyDescent="0.2">
      <c r="A6" t="str">
        <f t="shared" si="0"/>
        <v>A4</v>
      </c>
      <c r="B6" t="str">
        <f>IFERROR(
    INDEX(签到表!$B$2:$B$17,
        MATCH(A6, 签到表!$C$2:$C$17, 0)
    ),
    "待抽"
)</f>
        <v>Mangiameli, Greta</v>
      </c>
      <c r="C6">
        <f>'Group A'!L5</f>
        <v>9784</v>
      </c>
      <c r="D6">
        <f t="shared" si="1"/>
        <v>12</v>
      </c>
    </row>
    <row r="7" spans="1:4" x14ac:dyDescent="0.2">
      <c r="A7" t="str">
        <f t="shared" si="0"/>
        <v>B1</v>
      </c>
      <c r="B7" t="str">
        <f>IFERROR(
    INDEX(签到表!$B$2:$B$17,
        MATCH(A7, 签到表!$C$2:$C$17, 0)
    ),
    "待抽"
)</f>
        <v>Amjad, Usama Bin</v>
      </c>
      <c r="C7">
        <f>'Group B'!L2</f>
        <v>19999</v>
      </c>
      <c r="D7">
        <f t="shared" si="1"/>
        <v>9</v>
      </c>
    </row>
    <row r="8" spans="1:4" x14ac:dyDescent="0.2">
      <c r="A8" t="str">
        <f t="shared" si="0"/>
        <v>B2</v>
      </c>
      <c r="B8" t="str">
        <f>IFERROR(
    INDEX(签到表!$B$2:$B$17,
        MATCH(A8, 签到表!$C$2:$C$17, 0)
    ),
    "待抽"
)</f>
        <v xml:space="preserve">Benjamin Rettberg, Benjamin </v>
      </c>
      <c r="C8">
        <f>'Group B'!L3</f>
        <v>10109</v>
      </c>
      <c r="D8">
        <f t="shared" si="1"/>
        <v>10</v>
      </c>
    </row>
    <row r="9" spans="1:4" x14ac:dyDescent="0.2">
      <c r="A9" t="str">
        <f t="shared" si="0"/>
        <v>B3</v>
      </c>
      <c r="B9" t="str">
        <f>IFERROR(
    INDEX(签到表!$B$2:$B$17,
        MATCH(A9, 签到表!$C$2:$C$17, 0)
    ),
    "待抽"
)</f>
        <v>Nguyen, Thomas</v>
      </c>
      <c r="C9">
        <f>'Group B'!L4</f>
        <v>20215</v>
      </c>
      <c r="D9">
        <f t="shared" si="1"/>
        <v>3</v>
      </c>
    </row>
    <row r="10" spans="1:4" x14ac:dyDescent="0.2">
      <c r="A10" t="str">
        <f t="shared" si="0"/>
        <v>B4</v>
      </c>
      <c r="B10" t="str">
        <f>IFERROR(
    INDEX(签到表!$B$2:$B$17,
        MATCH(A10, 签到表!$C$2:$C$17, 0)
    ),
    "待抽"
)</f>
        <v>Ovcarov, Danil</v>
      </c>
      <c r="C10">
        <f>'Group B'!L5</f>
        <v>9677</v>
      </c>
      <c r="D10">
        <f t="shared" si="1"/>
        <v>14</v>
      </c>
    </row>
    <row r="11" spans="1:4" x14ac:dyDescent="0.2">
      <c r="A11" t="str">
        <f t="shared" si="0"/>
        <v>C1</v>
      </c>
      <c r="B11" t="str">
        <f>IFERROR(
    INDEX(签到表!$B$2:$B$17,
        MATCH(A11, 签到表!$C$2:$C$17, 0)
    ),
    "待抽"
)</f>
        <v>Guorui, Yu</v>
      </c>
      <c r="C11">
        <f>'Group C'!L2</f>
        <v>20001</v>
      </c>
      <c r="D11">
        <f t="shared" si="1"/>
        <v>8</v>
      </c>
    </row>
    <row r="12" spans="1:4" x14ac:dyDescent="0.2">
      <c r="A12" t="str">
        <f t="shared" si="0"/>
        <v>C2</v>
      </c>
      <c r="B12" t="str">
        <f>IFERROR(
    INDEX(签到表!$B$2:$B$17,
        MATCH(A12, 签到表!$C$2:$C$17, 0)
    ),
    "待抽"
)</f>
        <v xml:space="preserve">Alemu, Yohannes </v>
      </c>
      <c r="C12">
        <f>'Group C'!L3</f>
        <v>-199</v>
      </c>
      <c r="D12">
        <f t="shared" si="1"/>
        <v>15</v>
      </c>
    </row>
    <row r="13" spans="1:4" x14ac:dyDescent="0.2">
      <c r="A13" t="str">
        <f t="shared" si="0"/>
        <v>C3</v>
      </c>
      <c r="B13" t="str">
        <f>IFERROR(
    INDEX(签到表!$B$2:$B$17,
        MATCH(A13, 签到表!$C$2:$C$17, 0)
    ),
    "待抽"
)</f>
        <v xml:space="preserve">Hager, Jonathan </v>
      </c>
      <c r="C13">
        <f>'Group C'!L4</f>
        <v>30519</v>
      </c>
      <c r="D13">
        <f t="shared" si="1"/>
        <v>1</v>
      </c>
    </row>
    <row r="14" spans="1:4" x14ac:dyDescent="0.2">
      <c r="A14" t="str">
        <f t="shared" si="0"/>
        <v>C4</v>
      </c>
      <c r="B14" t="str">
        <f>IFERROR(
    INDEX(签到表!$B$2:$B$17,
        MATCH(A14, 签到表!$C$2:$C$17, 0)
    ),
    "待抽"
)</f>
        <v>Schneider, Yaro</v>
      </c>
      <c r="C14">
        <f>'Group C'!L5</f>
        <v>9679</v>
      </c>
      <c r="D14">
        <f t="shared" si="1"/>
        <v>13</v>
      </c>
    </row>
    <row r="15" spans="1:4" x14ac:dyDescent="0.2">
      <c r="A15" t="str">
        <f t="shared" si="0"/>
        <v>D1</v>
      </c>
      <c r="B15" t="str">
        <f>IFERROR(
    INDEX(签到表!$B$2:$B$17,
        MATCH(A15, 签到表!$C$2:$C$17, 0)
    ),
    "待抽"
)</f>
        <v>Yadav, Amit</v>
      </c>
      <c r="C15">
        <f>'Group D'!L2</f>
        <v>20002</v>
      </c>
      <c r="D15">
        <f t="shared" si="1"/>
        <v>7</v>
      </c>
    </row>
    <row r="16" spans="1:4" x14ac:dyDescent="0.2">
      <c r="A16" t="str">
        <f t="shared" si="0"/>
        <v>D2</v>
      </c>
      <c r="B16" t="str">
        <f>IFERROR(
    INDEX(签到表!$B$2:$B$17,
        MATCH(A16, 签到表!$C$2:$C$17, 0)
    ),
    "待抽"
)</f>
        <v xml:space="preserve">Katwal, Anmol </v>
      </c>
      <c r="C16">
        <f>'Group D'!L3</f>
        <v>20214</v>
      </c>
      <c r="D16">
        <f t="shared" si="1"/>
        <v>4</v>
      </c>
    </row>
    <row r="17" spans="1:4" x14ac:dyDescent="0.2">
      <c r="A17" t="str">
        <f t="shared" si="0"/>
        <v>D3</v>
      </c>
      <c r="B17" t="str">
        <f>IFERROR(
    INDEX(签到表!$B$2:$B$17,
        MATCH(A17, 签到表!$C$2:$C$17, 0)
    ),
    "待抽"
)</f>
        <v>Kühn, Justin</v>
      </c>
      <c r="C17">
        <f>'Group D'!L4</f>
        <v>20313</v>
      </c>
      <c r="D17">
        <f t="shared" si="1"/>
        <v>2</v>
      </c>
    </row>
    <row r="18" spans="1:4" x14ac:dyDescent="0.2">
      <c r="A18" t="str">
        <f t="shared" si="0"/>
        <v>D4</v>
      </c>
      <c r="B18" t="str">
        <f>IFERROR(
    INDEX(签到表!$B$2:$B$17,
        MATCH(A18, 签到表!$C$2:$C$17, 0)
    ),
    "待抽"
)</f>
        <v>Leo Farahwaschy, Leo</v>
      </c>
      <c r="C18">
        <f>'Group D'!L5</f>
        <v>-529</v>
      </c>
      <c r="D18">
        <f t="shared" si="1"/>
        <v>16</v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ED40E-D559-CB45-95EF-7BF6C409E212}">
  <dimension ref="A1:O23"/>
  <sheetViews>
    <sheetView workbookViewId="0"/>
  </sheetViews>
  <sheetFormatPr baseColWidth="10" defaultRowHeight="16" x14ac:dyDescent="0.2"/>
  <sheetData>
    <row r="1" spans="1:15" x14ac:dyDescent="0.2">
      <c r="A1" t="s">
        <v>189</v>
      </c>
      <c r="B1" t="s">
        <v>81</v>
      </c>
      <c r="H1" t="s">
        <v>190</v>
      </c>
      <c r="N1" t="s">
        <v>191</v>
      </c>
    </row>
    <row r="2" spans="1:15" x14ac:dyDescent="0.2">
      <c r="A2" t="s">
        <v>175</v>
      </c>
      <c r="B2" t="s">
        <v>179</v>
      </c>
      <c r="C2" t="s">
        <v>180</v>
      </c>
      <c r="H2" t="s">
        <v>179</v>
      </c>
      <c r="I2" t="s">
        <v>185</v>
      </c>
      <c r="N2" t="s">
        <v>179</v>
      </c>
      <c r="O2" t="s">
        <v>181</v>
      </c>
    </row>
    <row r="7" spans="1:15" x14ac:dyDescent="0.2">
      <c r="A7" t="s">
        <v>176</v>
      </c>
      <c r="B7" t="s">
        <v>181</v>
      </c>
      <c r="C7" t="s">
        <v>182</v>
      </c>
      <c r="H7" t="s">
        <v>181</v>
      </c>
      <c r="I7" t="s">
        <v>183</v>
      </c>
      <c r="N7" t="s">
        <v>183</v>
      </c>
      <c r="O7" t="s">
        <v>185</v>
      </c>
    </row>
    <row r="12" spans="1:15" x14ac:dyDescent="0.2">
      <c r="A12" t="s">
        <v>177</v>
      </c>
      <c r="B12" t="s">
        <v>183</v>
      </c>
      <c r="C12" t="s">
        <v>184</v>
      </c>
    </row>
    <row r="17" spans="1:3" x14ac:dyDescent="0.2">
      <c r="A17" t="s">
        <v>178</v>
      </c>
      <c r="B17" t="s">
        <v>185</v>
      </c>
      <c r="C17" t="s">
        <v>186</v>
      </c>
    </row>
    <row r="23" spans="1:3" x14ac:dyDescent="0.2">
      <c r="A23" t="s">
        <v>187</v>
      </c>
      <c r="B23" t="s">
        <v>188</v>
      </c>
    </row>
  </sheetData>
  <phoneticPr fontId="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B631C-F3E0-D645-846C-D1ABF38D9C6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DA20-CFB2-B94E-8B08-F6B9DF2A8B20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签到表</vt:lpstr>
      <vt:lpstr>抽签结果</vt:lpstr>
      <vt:lpstr>Group A</vt:lpstr>
      <vt:lpstr>Group B</vt:lpstr>
      <vt:lpstr>Group C</vt:lpstr>
      <vt:lpstr>Group D</vt:lpstr>
      <vt:lpstr>小组赛晋级名单</vt:lpstr>
      <vt:lpstr>八进四比赛</vt:lpstr>
      <vt:lpstr>四进二比赛</vt:lpstr>
      <vt:lpstr>决赛比赛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Wanchang Zhang</dc:creator>
  <cp:lastModifiedBy>Wanchang Zhang</cp:lastModifiedBy>
  <dcterms:created xsi:type="dcterms:W3CDTF">2025-12-08T12:01:42Z</dcterms:created>
  <dcterms:modified xsi:type="dcterms:W3CDTF">2025-12-09T10:32:14Z</dcterms:modified>
</cp:coreProperties>
</file>